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CE" sheetId="1" r:id="rId4"/>
    <sheet state="visible" name="CULLINAN" sheetId="2" r:id="rId5"/>
    <sheet state="visible" name="ATHOS" sheetId="3" r:id="rId6"/>
    <sheet state="visible" name="NOBILE" sheetId="4" r:id="rId7"/>
    <sheet state="visible" name="VISION" sheetId="5" r:id="rId8"/>
    <sheet state="visible" name="FUSION" sheetId="6" r:id="rId9"/>
    <sheet state="visible" name="METROPOLITAN" sheetId="7" r:id="rId10"/>
    <sheet state="visible" name="MERCURE" sheetId="8" r:id="rId11"/>
    <sheet state="visible" name="BRISAS" sheetId="9" r:id="rId12"/>
    <sheet state="visible" name="RESULTADO SUB MES" sheetId="10" r:id="rId13"/>
  </sheets>
  <definedNames/>
  <calcPr/>
  <extLst>
    <ext uri="GoogleSheetsCustomDataVersion2">
      <go:sheetsCustomData xmlns:go="http://customooxmlschemas.google.com/" r:id="rId14" roundtripDataChecksum="C/YilmeUXdWuVWeqmvg0wQj/q9LeY3bTFGDDo1KMPf0="/>
    </ext>
  </extLst>
</workbook>
</file>

<file path=xl/sharedStrings.xml><?xml version="1.0" encoding="utf-8"?>
<sst xmlns="http://schemas.openxmlformats.org/spreadsheetml/2006/main" count="1273" uniqueCount="26">
  <si>
    <t>FEV</t>
  </si>
  <si>
    <t>-</t>
  </si>
  <si>
    <t>R$ 0,00</t>
  </si>
  <si>
    <t>booking</t>
  </si>
  <si>
    <t>airbnb</t>
  </si>
  <si>
    <t>alugueasy</t>
  </si>
  <si>
    <t>TOTAL:</t>
  </si>
  <si>
    <t>FAT</t>
  </si>
  <si>
    <t>LUC</t>
  </si>
  <si>
    <t>TOTAL</t>
  </si>
  <si>
    <t>1214A</t>
  </si>
  <si>
    <t>A113</t>
  </si>
  <si>
    <t>A115</t>
  </si>
  <si>
    <t>A117</t>
  </si>
  <si>
    <t>FEV - SUB</t>
  </si>
  <si>
    <t>ESSENCE</t>
  </si>
  <si>
    <t>CULLINAN</t>
  </si>
  <si>
    <t>ATHOS</t>
  </si>
  <si>
    <t>NOBILE</t>
  </si>
  <si>
    <t>FUSION</t>
  </si>
  <si>
    <t>METROPOLITAN</t>
  </si>
  <si>
    <t>BRISAS</t>
  </si>
  <si>
    <t>MERCURE</t>
  </si>
  <si>
    <t>VISION</t>
  </si>
  <si>
    <t>TOTAL FAT</t>
  </si>
  <si>
    <t>TOTAL LUC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</si>
</sst>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333333"/>
      <name val="Overpass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2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4" fontId="5" numFmtId="164" xfId="0" applyAlignment="1" applyFill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5" fontId="5" numFmtId="164" xfId="0" applyAlignment="1" applyFill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5" numFmtId="164" xfId="0" applyAlignment="1" applyFont="1" applyNumberFormat="1">
      <alignment horizontal="center" shrinkToFit="0" vertical="bottom" wrapText="0"/>
    </xf>
    <xf borderId="0" fillId="6" fontId="5" numFmtId="164" xfId="0" applyAlignment="1" applyFill="1" applyFont="1" applyNumberForma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4" fontId="4" numFmtId="0" xfId="0" applyAlignment="1" applyFont="1">
      <alignment vertical="bottom"/>
    </xf>
    <xf borderId="0" fillId="0" fontId="6" numFmtId="164" xfId="0" applyAlignment="1" applyFont="1" applyNumberFormat="1">
      <alignment horizontal="center" vertical="bottom"/>
    </xf>
    <xf borderId="0" fillId="5" fontId="4" numFmtId="0" xfId="0" applyAlignment="1" applyFont="1">
      <alignment vertical="bottom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6" fontId="4" numFmtId="0" xfId="0" applyAlignment="1" applyFont="1">
      <alignment vertical="bottom"/>
    </xf>
    <xf borderId="0" fillId="3" fontId="3" numFmtId="164" xfId="0" applyAlignment="1" applyFont="1" applyNumberFormat="1">
      <alignment horizontal="center"/>
    </xf>
    <xf borderId="0" fillId="3" fontId="4" numFmtId="164" xfId="0" applyAlignment="1" applyFont="1" applyNumberFormat="1">
      <alignment horizontal="center"/>
    </xf>
    <xf borderId="0" fillId="0" fontId="3" numFmtId="0" xfId="0" applyFont="1"/>
    <xf borderId="0" fillId="0" fontId="3" numFmtId="164" xfId="0" applyFont="1" applyNumberFormat="1"/>
    <xf borderId="0" fillId="0" fontId="4" numFmtId="164" xfId="0" applyFont="1" applyNumberFormat="1"/>
    <xf borderId="0" fillId="7" fontId="5" numFmtId="164" xfId="0" applyAlignment="1" applyFill="1" applyFont="1" applyNumberFormat="1">
      <alignment horizontal="center" readingOrder="0"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/>
    </xf>
    <xf borderId="0" fillId="3" fontId="5" numFmtId="164" xfId="0" applyAlignment="1" applyFont="1" applyNumberFormat="1">
      <alignment horizontal="center" readingOrder="0" shrinkToFit="0" vertical="bottom" wrapText="0"/>
    </xf>
    <xf borderId="0" fillId="3" fontId="4" numFmtId="164" xfId="0" applyFont="1" applyNumberFormat="1"/>
    <xf borderId="0" fillId="0" fontId="4" numFmtId="0" xfId="0" applyFont="1"/>
    <xf borderId="0" fillId="2" fontId="1" numFmtId="0" xfId="0" applyAlignment="1" applyFont="1">
      <alignment horizontal="center" readingOrder="0" shrinkToFit="0" vertical="bottom" wrapText="0"/>
    </xf>
    <xf borderId="0" fillId="3" fontId="5" numFmtId="164" xfId="0" applyAlignment="1" applyFont="1" applyNumberFormat="1">
      <alignment horizontal="center" shrinkToFit="0" vertical="bottom" wrapText="0"/>
    </xf>
    <xf borderId="0" fillId="3" fontId="7" numFmtId="0" xfId="0" applyFont="1"/>
    <xf borderId="0" fillId="4" fontId="6" numFmtId="164" xfId="0" applyAlignment="1" applyFont="1" applyNumberFormat="1">
      <alignment horizontal="center" vertical="bottom"/>
    </xf>
    <xf borderId="0" fillId="3" fontId="6" numFmtId="164" xfId="0" applyAlignment="1" applyFont="1" applyNumberFormat="1">
      <alignment horizontal="center" vertical="bottom"/>
    </xf>
    <xf borderId="0" fillId="5" fontId="6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5" fontId="4" numFmtId="164" xfId="0" applyAlignment="1" applyFont="1" applyNumberFormat="1">
      <alignment horizontal="center" readingOrder="0"/>
    </xf>
    <xf borderId="0" fillId="4" fontId="4" numFmtId="164" xfId="0" applyAlignment="1" applyFont="1" applyNumberFormat="1">
      <alignment horizontal="center" readingOrder="0"/>
    </xf>
    <xf borderId="0" fillId="6" fontId="4" numFmtId="164" xfId="0" applyAlignment="1" applyFont="1" applyNumberFormat="1">
      <alignment horizontal="center" readingOrder="0"/>
    </xf>
    <xf borderId="1" fillId="3" fontId="3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center"/>
    </xf>
    <xf borderId="0" fillId="3" fontId="1" numFmtId="0" xfId="0" applyAlignment="1" applyFont="1">
      <alignment horizontal="center" readingOrder="0" shrinkToFit="0" vertical="bottom" wrapText="0"/>
    </xf>
    <xf borderId="0" fillId="3" fontId="4" numFmtId="0" xfId="0" applyFont="1"/>
    <xf borderId="1" fillId="3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4" width="15.63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>
        <v>302.0</v>
      </c>
      <c r="B2" s="5"/>
      <c r="C2" s="6">
        <v>603.0</v>
      </c>
      <c r="D2" s="7"/>
      <c r="E2" s="7" t="s">
        <v>1</v>
      </c>
      <c r="F2" s="7"/>
      <c r="G2" s="7" t="s">
        <v>1</v>
      </c>
      <c r="H2" s="7"/>
      <c r="I2" s="7" t="s">
        <v>1</v>
      </c>
      <c r="J2" s="7"/>
      <c r="K2" s="7" t="s">
        <v>1</v>
      </c>
      <c r="L2" s="8"/>
      <c r="M2" s="8"/>
      <c r="N2" s="8"/>
      <c r="O2" s="8"/>
    </row>
    <row r="3" ht="15.75" customHeight="1">
      <c r="A3" s="9">
        <f>534.72-(534.72*16%)</f>
        <v>449.1648</v>
      </c>
      <c r="B3" s="10"/>
      <c r="C3" s="11">
        <f>(873.49)/2*1</f>
        <v>436.745</v>
      </c>
      <c r="D3" s="8"/>
      <c r="E3" s="12" t="s">
        <v>2</v>
      </c>
      <c r="F3" s="8"/>
      <c r="G3" s="12" t="s">
        <v>2</v>
      </c>
      <c r="H3" s="8"/>
      <c r="I3" s="12" t="s">
        <v>2</v>
      </c>
      <c r="J3" s="8"/>
      <c r="K3" s="12" t="s">
        <v>2</v>
      </c>
      <c r="L3" s="8"/>
      <c r="M3" s="13"/>
      <c r="N3" s="8"/>
      <c r="O3" s="13"/>
    </row>
    <row r="4" ht="15.75" customHeight="1">
      <c r="A4" s="9">
        <f>964.79-(964.79*16%)</f>
        <v>810.4236</v>
      </c>
      <c r="B4" s="10"/>
      <c r="C4" s="11">
        <v>284.61</v>
      </c>
      <c r="D4" s="8"/>
      <c r="E4" s="12" t="s">
        <v>2</v>
      </c>
      <c r="F4" s="8"/>
      <c r="G4" s="12" t="s">
        <v>2</v>
      </c>
      <c r="H4" s="8"/>
      <c r="I4" s="12" t="s">
        <v>2</v>
      </c>
      <c r="J4" s="8"/>
      <c r="K4" s="12" t="s">
        <v>2</v>
      </c>
      <c r="L4" s="8"/>
      <c r="M4" s="13"/>
      <c r="N4" s="8"/>
      <c r="O4" s="13"/>
    </row>
    <row r="5" ht="15.75" customHeight="1">
      <c r="A5" s="11">
        <v>284.61</v>
      </c>
      <c r="B5" s="10"/>
      <c r="C5" s="11">
        <v>243.73</v>
      </c>
      <c r="D5" s="8"/>
      <c r="E5" s="12" t="s">
        <v>2</v>
      </c>
      <c r="F5" s="8"/>
      <c r="G5" s="12" t="s">
        <v>2</v>
      </c>
      <c r="H5" s="8"/>
      <c r="I5" s="12" t="s">
        <v>2</v>
      </c>
      <c r="J5" s="8"/>
      <c r="K5" s="12" t="s">
        <v>2</v>
      </c>
      <c r="L5" s="8"/>
      <c r="M5" s="13"/>
      <c r="N5" s="8"/>
      <c r="O5" s="13"/>
    </row>
    <row r="6" ht="15.75" customHeight="1">
      <c r="A6" s="11">
        <v>303.43</v>
      </c>
      <c r="B6" s="14"/>
      <c r="C6" s="11">
        <v>227.36</v>
      </c>
      <c r="D6" s="8"/>
      <c r="E6" s="12" t="s">
        <v>2</v>
      </c>
      <c r="F6" s="8"/>
      <c r="G6" s="12" t="s">
        <v>2</v>
      </c>
      <c r="H6" s="8"/>
      <c r="I6" s="12" t="s">
        <v>2</v>
      </c>
      <c r="J6" s="8"/>
      <c r="K6" s="12" t="s">
        <v>2</v>
      </c>
      <c r="L6" s="8"/>
      <c r="M6" s="13"/>
      <c r="N6" s="8"/>
      <c r="O6" s="13"/>
    </row>
    <row r="7" ht="15.75" customHeight="1">
      <c r="A7" s="11">
        <v>346.78</v>
      </c>
      <c r="B7" s="14"/>
      <c r="C7" s="11">
        <v>346.78</v>
      </c>
      <c r="D7" s="8"/>
      <c r="E7" s="12" t="s">
        <v>2</v>
      </c>
      <c r="F7" s="8"/>
      <c r="G7" s="12" t="s">
        <v>2</v>
      </c>
      <c r="H7" s="8"/>
      <c r="I7" s="12" t="s">
        <v>2</v>
      </c>
      <c r="J7" s="8"/>
      <c r="K7" s="12" t="s">
        <v>2</v>
      </c>
      <c r="L7" s="8"/>
      <c r="M7" s="13"/>
      <c r="N7" s="8"/>
      <c r="O7" s="13"/>
    </row>
    <row r="8" ht="15.75" customHeight="1">
      <c r="A8" s="11">
        <v>237.19</v>
      </c>
      <c r="B8" s="8"/>
      <c r="C8" s="11">
        <v>237.19</v>
      </c>
      <c r="D8" s="8"/>
      <c r="E8" s="12" t="s">
        <v>2</v>
      </c>
      <c r="F8" s="8"/>
      <c r="G8" s="12" t="s">
        <v>2</v>
      </c>
      <c r="H8" s="8"/>
      <c r="I8" s="12" t="s">
        <v>2</v>
      </c>
      <c r="J8" s="8"/>
      <c r="K8" s="12" t="s">
        <v>2</v>
      </c>
      <c r="L8" s="8"/>
      <c r="M8" s="13"/>
      <c r="N8" s="8"/>
      <c r="O8" s="13"/>
    </row>
    <row r="9" ht="15.75" customHeight="1">
      <c r="A9" s="11">
        <v>473.55</v>
      </c>
      <c r="B9" s="10"/>
      <c r="C9" s="11">
        <v>502.17</v>
      </c>
      <c r="D9" s="8"/>
      <c r="E9" s="12" t="s">
        <v>2</v>
      </c>
      <c r="F9" s="8"/>
      <c r="G9" s="12" t="s">
        <v>2</v>
      </c>
      <c r="H9" s="8"/>
      <c r="I9" s="12" t="s">
        <v>2</v>
      </c>
      <c r="J9" s="8"/>
      <c r="K9" s="12" t="s">
        <v>2</v>
      </c>
      <c r="L9" s="8"/>
      <c r="M9" s="13"/>
      <c r="N9" s="8"/>
      <c r="O9" s="13"/>
    </row>
    <row r="10" ht="15.75" customHeight="1">
      <c r="A10" s="9">
        <f>316.82-(316.82*16%)</f>
        <v>266.1288</v>
      </c>
      <c r="B10" s="10"/>
      <c r="C10" s="9">
        <f> 512.62-( 512.62*16%)</f>
        <v>430.6008</v>
      </c>
      <c r="D10" s="8"/>
      <c r="E10" s="12" t="s">
        <v>2</v>
      </c>
      <c r="F10" s="8"/>
      <c r="G10" s="12" t="s">
        <v>2</v>
      </c>
      <c r="H10" s="8"/>
      <c r="I10" s="12" t="s">
        <v>2</v>
      </c>
      <c r="J10" s="8"/>
      <c r="K10" s="12" t="s">
        <v>2</v>
      </c>
      <c r="L10" s="8"/>
      <c r="M10" s="13"/>
      <c r="N10" s="8"/>
      <c r="O10" s="13"/>
    </row>
    <row r="11" ht="15.75" customHeight="1">
      <c r="A11" s="9">
        <f> 861.06-( 861.06*16%)</f>
        <v>723.2904</v>
      </c>
      <c r="B11" s="10"/>
      <c r="C11" s="11">
        <v>274.81</v>
      </c>
      <c r="D11" s="8"/>
      <c r="E11" s="12" t="s">
        <v>2</v>
      </c>
      <c r="F11" s="8"/>
      <c r="G11" s="12" t="s">
        <v>2</v>
      </c>
      <c r="H11" s="8"/>
      <c r="I11" s="12" t="s">
        <v>2</v>
      </c>
      <c r="J11" s="8"/>
      <c r="K11" s="12" t="s">
        <v>2</v>
      </c>
      <c r="L11" s="8"/>
      <c r="M11" s="13"/>
      <c r="N11" s="8"/>
      <c r="O11" s="13"/>
    </row>
    <row r="12" ht="15.75" customHeight="1">
      <c r="A12" s="9">
        <f> 621-( 621*16%)</f>
        <v>521.64</v>
      </c>
      <c r="B12" s="10"/>
      <c r="C12" s="9">
        <f>702.77-(702.77*16%)</f>
        <v>590.3268</v>
      </c>
      <c r="D12" s="8"/>
      <c r="E12" s="12" t="s">
        <v>2</v>
      </c>
      <c r="F12" s="8"/>
      <c r="G12" s="12" t="s">
        <v>2</v>
      </c>
      <c r="H12" s="8"/>
      <c r="I12" s="12" t="s">
        <v>2</v>
      </c>
      <c r="J12" s="8"/>
      <c r="K12" s="12" t="s">
        <v>2</v>
      </c>
      <c r="L12" s="8"/>
      <c r="M12" s="13"/>
      <c r="N12" s="8"/>
      <c r="O12" s="13"/>
    </row>
    <row r="13" ht="15.75" customHeight="1">
      <c r="A13" s="11">
        <v>256.0</v>
      </c>
      <c r="B13" s="8"/>
      <c r="C13" s="11">
        <v>237.19</v>
      </c>
      <c r="D13" s="8"/>
      <c r="E13" s="12" t="s">
        <v>2</v>
      </c>
      <c r="F13" s="8"/>
      <c r="G13" s="12" t="s">
        <v>2</v>
      </c>
      <c r="H13" s="8"/>
      <c r="I13" s="12" t="s">
        <v>2</v>
      </c>
      <c r="J13" s="8"/>
      <c r="K13" s="12" t="s">
        <v>2</v>
      </c>
      <c r="L13" s="8"/>
      <c r="M13" s="13"/>
      <c r="N13" s="8"/>
      <c r="O13" s="13"/>
    </row>
    <row r="14" ht="15.75" customHeight="1">
      <c r="A14" s="11">
        <v>217.56</v>
      </c>
      <c r="B14" s="10"/>
      <c r="C14" s="11">
        <v>265.0</v>
      </c>
      <c r="D14" s="8"/>
      <c r="E14" s="12" t="s">
        <v>2</v>
      </c>
      <c r="F14" s="8"/>
      <c r="G14" s="12" t="s">
        <v>2</v>
      </c>
      <c r="H14" s="8"/>
      <c r="I14" s="12" t="s">
        <v>2</v>
      </c>
      <c r="J14" s="8"/>
      <c r="K14" s="12" t="s">
        <v>2</v>
      </c>
      <c r="L14" s="8"/>
      <c r="M14" s="13"/>
      <c r="N14" s="8"/>
      <c r="O14" s="13"/>
    </row>
    <row r="15" ht="15.75" customHeight="1">
      <c r="A15" s="9">
        <f> 1167.9-( 1167.9*16%)</f>
        <v>981.036</v>
      </c>
      <c r="B15" s="10"/>
      <c r="C15" s="11">
        <v>720.55</v>
      </c>
      <c r="D15" s="8"/>
      <c r="E15" s="12" t="s">
        <v>2</v>
      </c>
      <c r="F15" s="8"/>
      <c r="G15" s="12" t="s">
        <v>2</v>
      </c>
      <c r="H15" s="8"/>
      <c r="I15" s="12" t="s">
        <v>2</v>
      </c>
      <c r="J15" s="8"/>
      <c r="K15" s="12" t="s">
        <v>2</v>
      </c>
      <c r="L15" s="8"/>
      <c r="M15" s="13"/>
      <c r="N15" s="8"/>
      <c r="O15" s="13"/>
    </row>
    <row r="16" ht="15.75" customHeight="1">
      <c r="A16" s="15">
        <f> 300-( 300*10%)</f>
        <v>270</v>
      </c>
      <c r="B16" s="10"/>
      <c r="C16" s="11">
        <v>246.18</v>
      </c>
      <c r="D16" s="8"/>
      <c r="E16" s="12" t="s">
        <v>2</v>
      </c>
      <c r="F16" s="8"/>
      <c r="G16" s="12" t="s">
        <v>2</v>
      </c>
      <c r="H16" s="8"/>
      <c r="I16" s="12" t="s">
        <v>2</v>
      </c>
      <c r="J16" s="8"/>
      <c r="K16" s="12" t="s">
        <v>2</v>
      </c>
      <c r="L16" s="8"/>
      <c r="M16" s="13"/>
      <c r="N16" s="8"/>
      <c r="O16" s="13"/>
    </row>
    <row r="17" ht="15.75" customHeight="1">
      <c r="A17" s="9">
        <f>  669.3-(  669.3*16%)</f>
        <v>562.212</v>
      </c>
      <c r="B17" s="10"/>
      <c r="C17" s="11">
        <v>502.17</v>
      </c>
      <c r="D17" s="8"/>
      <c r="E17" s="12" t="s">
        <v>2</v>
      </c>
      <c r="F17" s="8"/>
      <c r="G17" s="12" t="s">
        <v>2</v>
      </c>
      <c r="H17" s="8"/>
      <c r="I17" s="12" t="s">
        <v>2</v>
      </c>
      <c r="J17" s="8"/>
      <c r="K17" s="12" t="s">
        <v>2</v>
      </c>
      <c r="L17" s="8"/>
      <c r="M17" s="13"/>
      <c r="N17" s="8"/>
      <c r="O17" s="13"/>
    </row>
    <row r="18" ht="15.75" customHeight="1">
      <c r="A18" s="9">
        <f>  954.43-(  954.43*16%)</f>
        <v>801.7212</v>
      </c>
      <c r="B18" s="8"/>
      <c r="C18" s="11">
        <v>398.31</v>
      </c>
      <c r="D18" s="8"/>
      <c r="E18" s="12" t="s">
        <v>2</v>
      </c>
      <c r="F18" s="8"/>
      <c r="G18" s="12" t="s">
        <v>2</v>
      </c>
      <c r="H18" s="8"/>
      <c r="I18" s="12" t="s">
        <v>2</v>
      </c>
      <c r="J18" s="8"/>
      <c r="K18" s="12" t="s">
        <v>2</v>
      </c>
      <c r="L18" s="8"/>
      <c r="M18" s="13"/>
      <c r="N18" s="8"/>
      <c r="O18" s="13"/>
    </row>
    <row r="19" ht="15.75" customHeight="1">
      <c r="A19" s="9">
        <f>  327.15-(  327.15*16%)</f>
        <v>274.806</v>
      </c>
      <c r="B19" s="10"/>
      <c r="C19" s="9">
        <f>429.47-(429.47*16%)</f>
        <v>360.7548</v>
      </c>
      <c r="D19" s="8"/>
      <c r="E19" s="12" t="s">
        <v>2</v>
      </c>
      <c r="F19" s="8"/>
      <c r="G19" s="12" t="s">
        <v>2</v>
      </c>
      <c r="H19" s="8"/>
      <c r="I19" s="12" t="s">
        <v>2</v>
      </c>
      <c r="J19" s="8"/>
      <c r="K19" s="12" t="s">
        <v>2</v>
      </c>
      <c r="L19" s="8"/>
      <c r="M19" s="13"/>
      <c r="N19" s="8"/>
      <c r="O19" s="13"/>
    </row>
    <row r="20" ht="15.75" customHeight="1">
      <c r="A20" s="16" t="s">
        <v>2</v>
      </c>
      <c r="B20" s="10"/>
      <c r="C20" s="9">
        <f>588.98-(588.98*16%)</f>
        <v>494.7432</v>
      </c>
      <c r="D20" s="8"/>
      <c r="E20" s="12" t="s">
        <v>2</v>
      </c>
      <c r="F20" s="8"/>
      <c r="G20" s="12" t="s">
        <v>2</v>
      </c>
      <c r="H20" s="8"/>
      <c r="I20" s="12" t="s">
        <v>2</v>
      </c>
      <c r="J20" s="8"/>
      <c r="K20" s="12" t="s">
        <v>2</v>
      </c>
      <c r="L20" s="8"/>
      <c r="M20" s="13"/>
      <c r="N20" s="8"/>
      <c r="O20" s="13"/>
    </row>
    <row r="21" ht="15.75" customHeight="1">
      <c r="A21" s="16" t="s">
        <v>2</v>
      </c>
      <c r="B21" s="10"/>
      <c r="C21" s="11">
        <v>265.0</v>
      </c>
      <c r="D21" s="8"/>
      <c r="E21" s="12" t="s">
        <v>2</v>
      </c>
      <c r="F21" s="8"/>
      <c r="G21" s="12" t="s">
        <v>2</v>
      </c>
      <c r="H21" s="8"/>
      <c r="I21" s="12" t="s">
        <v>2</v>
      </c>
      <c r="J21" s="8"/>
      <c r="K21" s="12" t="s">
        <v>2</v>
      </c>
      <c r="L21" s="8"/>
      <c r="M21" s="13"/>
      <c r="N21" s="8"/>
      <c r="O21" s="13"/>
    </row>
    <row r="22" ht="15.75" customHeight="1">
      <c r="A22" s="16" t="s">
        <v>2</v>
      </c>
      <c r="B22" s="8"/>
      <c r="C22" s="11">
        <v>274.81</v>
      </c>
      <c r="D22" s="8"/>
      <c r="E22" s="12" t="s">
        <v>2</v>
      </c>
      <c r="F22" s="8"/>
      <c r="G22" s="12" t="s">
        <v>2</v>
      </c>
      <c r="H22" s="8"/>
      <c r="I22" s="12" t="s">
        <v>2</v>
      </c>
      <c r="J22" s="8"/>
      <c r="K22" s="12" t="s">
        <v>2</v>
      </c>
      <c r="L22" s="8"/>
      <c r="M22" s="13"/>
      <c r="N22" s="8"/>
      <c r="O22" s="13"/>
    </row>
    <row r="23" ht="15.75" customHeight="1">
      <c r="A23" s="16" t="s">
        <v>2</v>
      </c>
      <c r="B23" s="8"/>
      <c r="C23" s="16" t="s">
        <v>2</v>
      </c>
      <c r="D23" s="8"/>
      <c r="E23" s="12" t="s">
        <v>2</v>
      </c>
      <c r="F23" s="8"/>
      <c r="G23" s="12" t="s">
        <v>2</v>
      </c>
      <c r="H23" s="8"/>
      <c r="I23" s="12" t="s">
        <v>2</v>
      </c>
      <c r="J23" s="8"/>
      <c r="K23" s="12" t="s">
        <v>2</v>
      </c>
      <c r="L23" s="8"/>
      <c r="M23" s="13"/>
      <c r="N23" s="8"/>
      <c r="O23" s="13"/>
    </row>
    <row r="24" ht="15.75" customHeight="1">
      <c r="A24" s="16" t="s">
        <v>2</v>
      </c>
      <c r="B24" s="8"/>
      <c r="C24" s="16" t="s">
        <v>2</v>
      </c>
      <c r="D24" s="8"/>
      <c r="E24" s="12" t="s">
        <v>2</v>
      </c>
      <c r="F24" s="8"/>
      <c r="G24" s="12" t="s">
        <v>2</v>
      </c>
      <c r="H24" s="8"/>
      <c r="I24" s="12" t="s">
        <v>2</v>
      </c>
      <c r="J24" s="8"/>
      <c r="K24" s="12" t="s">
        <v>2</v>
      </c>
      <c r="L24" s="8"/>
      <c r="M24" s="13"/>
      <c r="N24" s="8"/>
      <c r="O24" s="13"/>
    </row>
    <row r="25" ht="15.75" customHeight="1">
      <c r="A25" s="16" t="s">
        <v>2</v>
      </c>
      <c r="B25" s="8"/>
      <c r="C25" s="16" t="s">
        <v>2</v>
      </c>
      <c r="D25" s="8"/>
      <c r="E25" s="12" t="s">
        <v>2</v>
      </c>
      <c r="F25" s="8"/>
      <c r="G25" s="12" t="s">
        <v>2</v>
      </c>
      <c r="H25" s="8"/>
      <c r="I25" s="12" t="s">
        <v>2</v>
      </c>
      <c r="J25" s="8"/>
      <c r="K25" s="12" t="s">
        <v>2</v>
      </c>
      <c r="L25" s="8"/>
      <c r="M25" s="13"/>
      <c r="N25" s="8"/>
      <c r="O25" s="13"/>
    </row>
    <row r="26" ht="15.75" customHeight="1">
      <c r="A26" s="16" t="s">
        <v>2</v>
      </c>
      <c r="B26" s="8"/>
      <c r="C26" s="16" t="s">
        <v>2</v>
      </c>
      <c r="D26" s="8"/>
      <c r="E26" s="12" t="s">
        <v>2</v>
      </c>
      <c r="F26" s="8"/>
      <c r="G26" s="12" t="s">
        <v>2</v>
      </c>
      <c r="H26" s="8"/>
      <c r="I26" s="12" t="s">
        <v>2</v>
      </c>
      <c r="J26" s="8"/>
      <c r="K26" s="12" t="s">
        <v>2</v>
      </c>
      <c r="L26" s="8"/>
      <c r="M26" s="13"/>
      <c r="N26" s="8"/>
      <c r="O26" s="13"/>
    </row>
    <row r="27" ht="15.75" customHeight="1">
      <c r="A27" s="16" t="s">
        <v>2</v>
      </c>
      <c r="B27" s="8"/>
      <c r="C27" s="16" t="s">
        <v>2</v>
      </c>
      <c r="D27" s="8"/>
      <c r="E27" s="12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L27" s="8"/>
      <c r="M27" s="13"/>
      <c r="N27" s="8"/>
      <c r="O27" s="13"/>
      <c r="P27" s="17"/>
      <c r="Q27" s="18"/>
      <c r="R27" s="17"/>
    </row>
    <row r="28" ht="15.75" customHeight="1">
      <c r="A28" s="16" t="s">
        <v>2</v>
      </c>
      <c r="B28" s="8"/>
      <c r="C28" s="16" t="s">
        <v>2</v>
      </c>
      <c r="D28" s="8"/>
      <c r="E28" s="12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L28" s="8"/>
      <c r="M28" s="13"/>
      <c r="N28" s="8"/>
      <c r="O28" s="13"/>
      <c r="P28" s="19"/>
      <c r="Q28" s="20" t="s">
        <v>3</v>
      </c>
      <c r="R28" s="17"/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L29" s="8"/>
      <c r="M29" s="13"/>
      <c r="N29" s="8"/>
      <c r="O29" s="13"/>
      <c r="P29" s="21"/>
      <c r="Q29" s="20" t="s">
        <v>4</v>
      </c>
      <c r="R29" s="17"/>
    </row>
    <row r="30" ht="15.75" customHeight="1">
      <c r="A30" s="22">
        <f>SUM(A3:A29)</f>
        <v>7779.5428</v>
      </c>
      <c r="B30" s="8"/>
      <c r="C30" s="22">
        <f>SUM(C3:C29)</f>
        <v>7339.0306</v>
      </c>
      <c r="D30" s="23"/>
      <c r="E30" s="22">
        <f>SUM(E3:E29)</f>
        <v>0</v>
      </c>
      <c r="F30" s="22"/>
      <c r="G30" s="22">
        <f>SUM(G3:G29)</f>
        <v>0</v>
      </c>
      <c r="H30" s="8"/>
      <c r="I30" s="22">
        <f>SUM(I3:I29)</f>
        <v>0</v>
      </c>
      <c r="J30" s="8"/>
      <c r="K30" s="22">
        <f>SUM(K3:K29)</f>
        <v>0</v>
      </c>
      <c r="L30" s="8"/>
      <c r="M30" s="22"/>
      <c r="N30" s="8"/>
      <c r="O30" s="22"/>
      <c r="P30" s="24"/>
      <c r="Q30" s="20" t="s">
        <v>5</v>
      </c>
      <c r="R30" s="17"/>
    </row>
    <row r="31" ht="15.75" customHeight="1">
      <c r="A31" s="7" t="s">
        <v>6</v>
      </c>
      <c r="B31" s="25">
        <f>A30+C30+E30+G30+I30+K30</f>
        <v>15118.5734</v>
      </c>
      <c r="P31" s="17"/>
      <c r="Q31" s="18"/>
      <c r="R31" s="17"/>
    </row>
    <row r="32" ht="15.75" customHeight="1">
      <c r="A32" s="26">
        <f>(A30- 7174.6)</f>
        <v>604.9428</v>
      </c>
      <c r="B32" s="26"/>
      <c r="C32" s="26">
        <f>(C30- 7116.1)</f>
        <v>222.9306</v>
      </c>
      <c r="D32" s="26"/>
      <c r="E32" s="26">
        <f>(E30-0)</f>
        <v>0</v>
      </c>
      <c r="F32" s="26"/>
      <c r="G32" s="26">
        <f>(G30-0)</f>
        <v>0</v>
      </c>
      <c r="H32" s="26"/>
      <c r="I32" s="26">
        <f>(I30-0)</f>
        <v>0</v>
      </c>
      <c r="J32" s="26"/>
      <c r="K32" s="26">
        <f>(K30-0)</f>
        <v>0</v>
      </c>
      <c r="P32" s="17"/>
      <c r="Q32" s="18"/>
      <c r="R32" s="17"/>
    </row>
    <row r="33" ht="15.75" customHeight="1">
      <c r="P33" s="17"/>
      <c r="Q33" s="18"/>
      <c r="R33" s="17"/>
    </row>
    <row r="34" ht="15.75" customHeight="1"/>
    <row r="35" ht="15.75" customHeight="1">
      <c r="C35" s="27" t="s">
        <v>7</v>
      </c>
      <c r="D35" s="28">
        <f>B31</f>
        <v>15118.5734</v>
      </c>
      <c r="E35" s="29">
        <v>15118.573400000001</v>
      </c>
    </row>
    <row r="36" ht="15.75" customHeight="1">
      <c r="C36" s="27" t="s">
        <v>8</v>
      </c>
      <c r="D36" s="28">
        <f>A32+C32+E32+G32+I32+K32</f>
        <v>827.8734</v>
      </c>
      <c r="E36" s="29">
        <v>827.8734000000004</v>
      </c>
    </row>
    <row r="37" ht="15.75" customHeight="1">
      <c r="E37" s="2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B31:K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4" width="15.63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>
        <v>218.0</v>
      </c>
      <c r="B2" s="5"/>
      <c r="C2" s="4">
        <v>304.0</v>
      </c>
      <c r="D2" s="7"/>
      <c r="E2" s="4">
        <v>404.0</v>
      </c>
      <c r="F2" s="7"/>
      <c r="G2" s="4">
        <v>803.0</v>
      </c>
      <c r="H2" s="23"/>
      <c r="I2" s="4">
        <v>916.0</v>
      </c>
      <c r="J2" s="23"/>
      <c r="K2" s="23" t="s">
        <v>1</v>
      </c>
      <c r="L2" s="8"/>
      <c r="M2" s="8" t="s">
        <v>1</v>
      </c>
      <c r="N2" s="8"/>
      <c r="O2" s="8" t="s">
        <v>1</v>
      </c>
    </row>
    <row r="3" ht="15.75" customHeight="1">
      <c r="A3" s="11">
        <v>368.11</v>
      </c>
      <c r="B3" s="10"/>
      <c r="C3" s="9">
        <f>(1077.384)/3*1</f>
        <v>359.128</v>
      </c>
      <c r="D3" s="8"/>
      <c r="E3" s="9">
        <f>565.56-(565.56*16%)</f>
        <v>475.0704</v>
      </c>
      <c r="F3" s="8"/>
      <c r="G3" s="30">
        <f>(1327.074)/4*1</f>
        <v>331.7685</v>
      </c>
      <c r="H3" s="8"/>
      <c r="I3" s="30">
        <f>(1215)/3*1</f>
        <v>405</v>
      </c>
      <c r="J3" s="8"/>
      <c r="K3" s="12" t="s">
        <v>2</v>
      </c>
      <c r="L3" s="8"/>
      <c r="M3" s="12" t="s">
        <v>2</v>
      </c>
      <c r="N3" s="8"/>
      <c r="O3" s="12" t="s">
        <v>2</v>
      </c>
    </row>
    <row r="4" ht="15.75" customHeight="1">
      <c r="A4" s="30">
        <f> 1520-( 1520*10%)</f>
        <v>1368</v>
      </c>
      <c r="B4" s="10"/>
      <c r="C4" s="30">
        <f> 1520-( 1520*10%)</f>
        <v>1368</v>
      </c>
      <c r="D4" s="8"/>
      <c r="E4" s="30">
        <f> 1520-( 1520*10%)</f>
        <v>1368</v>
      </c>
      <c r="F4" s="8"/>
      <c r="G4" s="30">
        <f> 1520-( 1520*10%)</f>
        <v>1368</v>
      </c>
      <c r="H4" s="8"/>
      <c r="I4" s="15">
        <f> 1520-( 1520*10%)</f>
        <v>1368</v>
      </c>
      <c r="J4" s="8"/>
      <c r="K4" s="12" t="s">
        <v>2</v>
      </c>
      <c r="L4" s="8"/>
      <c r="M4" s="12" t="s">
        <v>2</v>
      </c>
      <c r="N4" s="8"/>
      <c r="O4" s="12" t="s">
        <v>2</v>
      </c>
    </row>
    <row r="5" ht="15.75" customHeight="1">
      <c r="A5" s="9">
        <f> 241.5-( 241.5*16%)</f>
        <v>202.86</v>
      </c>
      <c r="B5" s="10"/>
      <c r="C5" s="9">
        <f> 276.64-( 276.64*16%)</f>
        <v>232.3776</v>
      </c>
      <c r="D5" s="8"/>
      <c r="E5" s="9">
        <f>  497.74-(  497.74*16%)</f>
        <v>418.1016</v>
      </c>
      <c r="F5" s="8"/>
      <c r="G5" s="9">
        <f> 241.5-( 241.5*16%)</f>
        <v>202.86</v>
      </c>
      <c r="H5" s="8"/>
      <c r="I5" s="9">
        <f>220.87-(220.87*16%)</f>
        <v>185.5308</v>
      </c>
      <c r="J5" s="8"/>
      <c r="K5" s="12" t="s">
        <v>2</v>
      </c>
      <c r="L5" s="8"/>
      <c r="M5" s="12" t="s">
        <v>2</v>
      </c>
      <c r="N5" s="8"/>
      <c r="O5" s="12" t="s">
        <v>2</v>
      </c>
    </row>
    <row r="6" ht="15.75" customHeight="1">
      <c r="A6" s="11">
        <v>202.02</v>
      </c>
      <c r="B6" s="14"/>
      <c r="C6" s="9">
        <f> 267.72-( 267.72*16%)</f>
        <v>224.8848</v>
      </c>
      <c r="D6" s="8"/>
      <c r="E6" s="11">
        <v>179.93</v>
      </c>
      <c r="F6" s="8"/>
      <c r="G6" s="9">
        <f>721.06-(721.06*16%)</f>
        <v>605.6904</v>
      </c>
      <c r="H6" s="8"/>
      <c r="I6" s="9">
        <f>250.99-(250.99*16%)</f>
        <v>210.8316</v>
      </c>
      <c r="J6" s="8"/>
      <c r="K6" s="12" t="s">
        <v>2</v>
      </c>
      <c r="L6" s="8"/>
      <c r="M6" s="12" t="s">
        <v>2</v>
      </c>
      <c r="N6" s="8"/>
      <c r="O6" s="12" t="s">
        <v>2</v>
      </c>
    </row>
    <row r="7" ht="15.75" customHeight="1">
      <c r="A7" s="9">
        <f> 1059.74-( 1059.74*16%)</f>
        <v>890.1816</v>
      </c>
      <c r="B7" s="14"/>
      <c r="C7" s="9">
        <f>  217.35-(  217.35*16%)</f>
        <v>182.574</v>
      </c>
      <c r="D7" s="8"/>
      <c r="E7" s="9">
        <f>580.07-(580.07*16%)</f>
        <v>487.2588</v>
      </c>
      <c r="F7" s="8"/>
      <c r="G7" s="9">
        <f>291.15-(291.15*16%)</f>
        <v>244.566</v>
      </c>
      <c r="H7" s="8"/>
      <c r="I7" s="9">
        <f>1070.32-(1070.32*16%)</f>
        <v>899.0688</v>
      </c>
      <c r="J7" s="8"/>
      <c r="K7" s="12" t="s">
        <v>2</v>
      </c>
      <c r="L7" s="8"/>
      <c r="M7" s="12" t="s">
        <v>2</v>
      </c>
      <c r="N7" s="8"/>
      <c r="O7" s="12" t="s">
        <v>2</v>
      </c>
    </row>
    <row r="8" ht="15.75" customHeight="1">
      <c r="A8" s="30">
        <f> 250-( 250*10%)</f>
        <v>225</v>
      </c>
      <c r="B8" s="8"/>
      <c r="C8" s="9">
        <f>  271.07-(  271.07*16%)</f>
        <v>227.6988</v>
      </c>
      <c r="D8" s="8"/>
      <c r="E8" s="9">
        <f> 494.5-( 494.5*16%)</f>
        <v>415.38</v>
      </c>
      <c r="F8" s="8"/>
      <c r="G8" s="9">
        <f>253-(253*16%)</f>
        <v>212.52</v>
      </c>
      <c r="H8" s="8"/>
      <c r="I8" s="9">
        <f>250.99-(250.99*16%)</f>
        <v>210.8316</v>
      </c>
      <c r="J8" s="8"/>
      <c r="K8" s="12" t="s">
        <v>2</v>
      </c>
      <c r="L8" s="8"/>
      <c r="M8" s="12" t="s">
        <v>2</v>
      </c>
      <c r="N8" s="8"/>
      <c r="O8" s="12" t="s">
        <v>2</v>
      </c>
    </row>
    <row r="9" ht="15.75" customHeight="1">
      <c r="A9" s="9">
        <f> 501.98-( 501.98*16%)</f>
        <v>421.6632</v>
      </c>
      <c r="B9" s="10"/>
      <c r="C9" s="9">
        <f>  301.19-(  301.19*16%)</f>
        <v>252.9996</v>
      </c>
      <c r="D9" s="8"/>
      <c r="E9" s="11">
        <v>235.54</v>
      </c>
      <c r="F9" s="8"/>
      <c r="G9" s="9">
        <f>218.5-(218.5*16%)</f>
        <v>183.54</v>
      </c>
      <c r="H9" s="8"/>
      <c r="I9" s="9">
        <f>238.05-(238.05*16%)</f>
        <v>199.962</v>
      </c>
      <c r="J9" s="8"/>
      <c r="K9" s="12" t="s">
        <v>2</v>
      </c>
      <c r="L9" s="8"/>
      <c r="M9" s="12" t="s">
        <v>2</v>
      </c>
      <c r="N9" s="8"/>
      <c r="O9" s="12" t="s">
        <v>2</v>
      </c>
    </row>
    <row r="10" ht="15.75" customHeight="1">
      <c r="A10" s="9">
        <f> 241.5-( 241.5*16%)</f>
        <v>202.86</v>
      </c>
      <c r="B10" s="10"/>
      <c r="C10" s="9">
        <f>  290.03-(  290.03*16%)</f>
        <v>243.6252</v>
      </c>
      <c r="D10" s="8"/>
      <c r="E10" s="11">
        <v>208.55</v>
      </c>
      <c r="F10" s="8"/>
      <c r="G10" s="11">
        <v>217.56</v>
      </c>
      <c r="H10" s="8"/>
      <c r="I10" s="9">
        <f>240.95-(240.95*16%)</f>
        <v>202.398</v>
      </c>
      <c r="J10" s="8"/>
      <c r="K10" s="12" t="s">
        <v>2</v>
      </c>
      <c r="L10" s="8"/>
      <c r="M10" s="12" t="s">
        <v>2</v>
      </c>
      <c r="N10" s="8"/>
      <c r="O10" s="12" t="s">
        <v>2</v>
      </c>
    </row>
    <row r="11" ht="15.75" customHeight="1">
      <c r="A11" s="11">
        <v>174.54</v>
      </c>
      <c r="B11" s="10"/>
      <c r="C11" s="9">
        <f t="shared" ref="C11:C12" si="1">  230-(  230*16%)</f>
        <v>193.2</v>
      </c>
      <c r="D11" s="8"/>
      <c r="E11" s="9">
        <f> 241.5-( 241.5*16%)</f>
        <v>202.86</v>
      </c>
      <c r="F11" s="8"/>
      <c r="G11" s="11">
        <v>388.49</v>
      </c>
      <c r="H11" s="8"/>
      <c r="I11" s="9">
        <f>245.41-(245.41*16%)</f>
        <v>206.1444</v>
      </c>
      <c r="J11" s="8"/>
      <c r="K11" s="12" t="s">
        <v>2</v>
      </c>
      <c r="L11" s="8"/>
      <c r="M11" s="12" t="s">
        <v>2</v>
      </c>
      <c r="N11" s="8"/>
      <c r="O11" s="12" t="s">
        <v>2</v>
      </c>
    </row>
    <row r="12" ht="15.75" customHeight="1">
      <c r="A12" s="9">
        <f>207-(207*16%)</f>
        <v>173.88</v>
      </c>
      <c r="B12" s="31"/>
      <c r="C12" s="9">
        <f t="shared" si="1"/>
        <v>193.2</v>
      </c>
      <c r="D12" s="8"/>
      <c r="E12" s="11">
        <v>170.11</v>
      </c>
      <c r="F12" s="8"/>
      <c r="G12" s="11">
        <v>198.75</v>
      </c>
      <c r="H12" s="8"/>
      <c r="I12" s="9">
        <f>210.83-( 210.83*16%)</f>
        <v>177.0972</v>
      </c>
      <c r="J12" s="8"/>
      <c r="K12" s="12" t="s">
        <v>2</v>
      </c>
      <c r="L12" s="8"/>
      <c r="M12" s="12" t="s">
        <v>2</v>
      </c>
      <c r="N12" s="8"/>
      <c r="O12" s="12" t="s">
        <v>2</v>
      </c>
    </row>
    <row r="13" ht="15.75" customHeight="1">
      <c r="A13" s="11">
        <v>198.75</v>
      </c>
      <c r="B13" s="8"/>
      <c r="C13" s="9">
        <f>   718.38-(   718.38*16%)</f>
        <v>603.4392</v>
      </c>
      <c r="D13" s="8"/>
      <c r="E13" s="11">
        <v>161.12</v>
      </c>
      <c r="F13" s="8"/>
      <c r="G13" s="9">
        <f>200.79-(200.79*16%)</f>
        <v>168.6636</v>
      </c>
      <c r="H13" s="32"/>
      <c r="I13" s="9">
        <f> 411.62-(  411.62*16%)</f>
        <v>345.7608</v>
      </c>
      <c r="J13" s="8"/>
      <c r="K13" s="12" t="s">
        <v>2</v>
      </c>
      <c r="L13" s="8"/>
      <c r="M13" s="12" t="s">
        <v>2</v>
      </c>
      <c r="N13" s="8"/>
      <c r="O13" s="12" t="s">
        <v>2</v>
      </c>
    </row>
    <row r="14" ht="15.75" customHeight="1">
      <c r="A14" s="11">
        <v>202.3</v>
      </c>
      <c r="B14" s="10"/>
      <c r="C14" s="9">
        <f t="shared" ref="C14:C15" si="2">207-(207*16%)</f>
        <v>173.88</v>
      </c>
      <c r="D14" s="32"/>
      <c r="E14" s="9">
        <f>253-(253*16%)</f>
        <v>212.52</v>
      </c>
      <c r="F14" s="8"/>
      <c r="G14" s="9">
        <f>207-(207*16%)</f>
        <v>173.88</v>
      </c>
      <c r="H14" s="8"/>
      <c r="I14" s="9">
        <f>210.83-( 210.83*16%)</f>
        <v>177.0972</v>
      </c>
      <c r="J14" s="8"/>
      <c r="K14" s="12" t="s">
        <v>2</v>
      </c>
      <c r="L14" s="8"/>
      <c r="M14" s="12" t="s">
        <v>2</v>
      </c>
      <c r="N14" s="8"/>
      <c r="O14" s="12" t="s">
        <v>2</v>
      </c>
    </row>
    <row r="15" ht="15.75" customHeight="1">
      <c r="A15" s="9">
        <f>218.5-(218.5*16%)</f>
        <v>183.54</v>
      </c>
      <c r="B15" s="10"/>
      <c r="C15" s="9">
        <f t="shared" si="2"/>
        <v>173.88</v>
      </c>
      <c r="D15" s="8"/>
      <c r="E15" s="9">
        <f> 189.63-( 189.63*16%)</f>
        <v>159.2892</v>
      </c>
      <c r="F15" s="8"/>
      <c r="G15" s="11">
        <v>208.55</v>
      </c>
      <c r="H15" s="8"/>
      <c r="I15" s="9">
        <f>190.75-( 190.75*16%)</f>
        <v>160.23</v>
      </c>
      <c r="J15" s="8"/>
      <c r="K15" s="12" t="s">
        <v>2</v>
      </c>
      <c r="L15" s="8"/>
      <c r="M15" s="12" t="s">
        <v>2</v>
      </c>
      <c r="N15" s="8"/>
      <c r="O15" s="12" t="s">
        <v>2</v>
      </c>
    </row>
    <row r="16" ht="15.75" customHeight="1">
      <c r="A16" s="9">
        <f>425.5-(425.5*16%)</f>
        <v>357.42</v>
      </c>
      <c r="B16" s="10"/>
      <c r="C16" s="9">
        <f t="shared" ref="C16:C17" si="3">253-(253*16%)</f>
        <v>212.52</v>
      </c>
      <c r="D16" s="8"/>
      <c r="E16" s="9">
        <f> 527.63-( 527.63*16%)</f>
        <v>443.2092</v>
      </c>
      <c r="F16" s="8"/>
      <c r="G16" s="11">
        <v>161.12</v>
      </c>
      <c r="H16" s="8"/>
      <c r="I16" s="9">
        <f>240.95-(240.95*16%)</f>
        <v>202.398</v>
      </c>
      <c r="J16" s="8"/>
      <c r="K16" s="12" t="s">
        <v>2</v>
      </c>
      <c r="L16" s="8"/>
      <c r="M16" s="12" t="s">
        <v>2</v>
      </c>
      <c r="N16" s="8"/>
      <c r="O16" s="12" t="s">
        <v>2</v>
      </c>
    </row>
    <row r="17" ht="15.75" customHeight="1">
      <c r="A17" s="9">
        <f>655.5-(655.5*16%)</f>
        <v>550.62</v>
      </c>
      <c r="B17" s="10"/>
      <c r="C17" s="9">
        <f t="shared" si="3"/>
        <v>212.52</v>
      </c>
      <c r="D17" s="8"/>
      <c r="E17" s="9">
        <f> 535.44-( 535.44*16%)</f>
        <v>449.7696</v>
      </c>
      <c r="F17" s="8"/>
      <c r="G17" s="9">
        <f>616.76-(616.76*16%)</f>
        <v>518.0784</v>
      </c>
      <c r="H17" s="32"/>
      <c r="I17" s="9">
        <f>210.83-( 210.83*16%)</f>
        <v>177.0972</v>
      </c>
      <c r="J17" s="32"/>
      <c r="K17" s="12" t="s">
        <v>2</v>
      </c>
      <c r="L17" s="8"/>
      <c r="M17" s="12" t="s">
        <v>2</v>
      </c>
      <c r="N17" s="8"/>
      <c r="O17" s="12" t="s">
        <v>2</v>
      </c>
    </row>
    <row r="18" ht="15.75" customHeight="1">
      <c r="A18" s="9">
        <f> 1649.69-( 1649.69*16%)</f>
        <v>1385.7396</v>
      </c>
      <c r="B18" s="8"/>
      <c r="C18" s="9">
        <f>    811.53-( 811.53*16%)</f>
        <v>681.6852</v>
      </c>
      <c r="D18" s="8"/>
      <c r="E18" s="9">
        <f>245.41-(245.41*16%)</f>
        <v>206.1444</v>
      </c>
      <c r="F18" s="8"/>
      <c r="G18" s="9">
        <f> 624.68-( 624.68*16%)</f>
        <v>524.7312</v>
      </c>
      <c r="H18" s="8"/>
      <c r="I18" s="9">
        <f> 391.55-(  391.55*16%)</f>
        <v>328.902</v>
      </c>
      <c r="J18" s="8"/>
      <c r="K18" s="12" t="s">
        <v>2</v>
      </c>
      <c r="L18" s="8"/>
      <c r="M18" s="12" t="s">
        <v>2</v>
      </c>
      <c r="N18" s="8"/>
      <c r="O18" s="12" t="s">
        <v>2</v>
      </c>
    </row>
    <row r="19" ht="15.75" customHeight="1">
      <c r="A19" s="33" t="s">
        <v>2</v>
      </c>
      <c r="B19" s="10"/>
      <c r="C19" s="9">
        <f>616.76-(616.76*16%)</f>
        <v>518.0784</v>
      </c>
      <c r="D19" s="8"/>
      <c r="E19" s="9">
        <f>  276-(  276*16%)</f>
        <v>231.84</v>
      </c>
      <c r="F19" s="8"/>
      <c r="G19" s="9">
        <f> 985.56-( 985.56*16%)</f>
        <v>827.8704</v>
      </c>
      <c r="H19" s="8"/>
      <c r="I19" s="9">
        <f>  945.72-(   945.72*16%)</f>
        <v>794.4048</v>
      </c>
      <c r="J19" s="8"/>
      <c r="K19" s="12" t="s">
        <v>2</v>
      </c>
      <c r="L19" s="8"/>
      <c r="M19" s="12" t="s">
        <v>2</v>
      </c>
      <c r="N19" s="8"/>
      <c r="O19" s="12" t="s">
        <v>2</v>
      </c>
    </row>
    <row r="20" ht="15.75" customHeight="1">
      <c r="A20" s="33" t="s">
        <v>2</v>
      </c>
      <c r="B20" s="10"/>
      <c r="C20" s="9">
        <f>     1600.2-(  1600.2*16%)</f>
        <v>1344.168</v>
      </c>
      <c r="D20" s="8"/>
      <c r="E20" s="33" t="s">
        <v>2</v>
      </c>
      <c r="F20" s="8"/>
      <c r="G20" s="33" t="s">
        <v>2</v>
      </c>
      <c r="H20" s="8"/>
      <c r="I20" s="9">
        <f>238.05-(238.05*16%)</f>
        <v>199.962</v>
      </c>
      <c r="J20" s="8"/>
      <c r="K20" s="12" t="s">
        <v>2</v>
      </c>
      <c r="L20" s="8"/>
      <c r="M20" s="12" t="s">
        <v>2</v>
      </c>
      <c r="N20" s="8"/>
      <c r="O20" s="12" t="s">
        <v>2</v>
      </c>
    </row>
    <row r="21" ht="15.75" customHeight="1">
      <c r="A21" s="33" t="s">
        <v>2</v>
      </c>
      <c r="B21" s="10"/>
      <c r="C21" s="33" t="s">
        <v>2</v>
      </c>
      <c r="D21" s="8"/>
      <c r="E21" s="33" t="s">
        <v>2</v>
      </c>
      <c r="F21" s="32"/>
      <c r="G21" s="33" t="s">
        <v>2</v>
      </c>
      <c r="H21" s="8"/>
      <c r="I21" s="9">
        <f>230.91-(230.91*16%)</f>
        <v>193.9644</v>
      </c>
      <c r="J21" s="8"/>
      <c r="K21" s="12" t="s">
        <v>2</v>
      </c>
      <c r="L21" s="8"/>
      <c r="M21" s="12" t="s">
        <v>2</v>
      </c>
      <c r="N21" s="8"/>
      <c r="O21" s="12" t="s">
        <v>2</v>
      </c>
    </row>
    <row r="22" ht="15.75" customHeight="1">
      <c r="A22" s="33" t="s">
        <v>2</v>
      </c>
      <c r="B22" s="8"/>
      <c r="C22" s="33" t="s">
        <v>2</v>
      </c>
      <c r="D22" s="8"/>
      <c r="E22" s="33" t="s">
        <v>2</v>
      </c>
      <c r="F22" s="8"/>
      <c r="G22" s="33" t="s">
        <v>2</v>
      </c>
      <c r="H22" s="8"/>
      <c r="I22" s="9">
        <f>289.8-(289.8*16%)</f>
        <v>243.432</v>
      </c>
      <c r="J22" s="8"/>
      <c r="K22" s="12" t="s">
        <v>2</v>
      </c>
      <c r="L22" s="8"/>
      <c r="M22" s="12" t="s">
        <v>2</v>
      </c>
      <c r="N22" s="8"/>
      <c r="O22" s="12" t="s">
        <v>2</v>
      </c>
    </row>
    <row r="23" ht="15.75" customHeight="1">
      <c r="A23" s="16" t="s">
        <v>2</v>
      </c>
      <c r="B23" s="8"/>
      <c r="C23" s="33" t="s">
        <v>2</v>
      </c>
      <c r="D23" s="8"/>
      <c r="E23" s="33" t="s">
        <v>2</v>
      </c>
      <c r="F23" s="8"/>
      <c r="G23" s="33" t="s">
        <v>2</v>
      </c>
      <c r="H23" s="8"/>
      <c r="I23" s="33" t="s">
        <v>2</v>
      </c>
      <c r="J23" s="8"/>
      <c r="K23" s="12" t="s">
        <v>2</v>
      </c>
      <c r="L23" s="8"/>
      <c r="M23" s="12" t="s">
        <v>2</v>
      </c>
      <c r="N23" s="8"/>
      <c r="O23" s="12" t="s">
        <v>2</v>
      </c>
    </row>
    <row r="24" ht="15.75" customHeight="1">
      <c r="A24" s="16" t="s">
        <v>2</v>
      </c>
      <c r="B24" s="8"/>
      <c r="C24" s="33" t="s">
        <v>2</v>
      </c>
      <c r="D24" s="8"/>
      <c r="E24" s="33" t="s">
        <v>2</v>
      </c>
      <c r="F24" s="8"/>
      <c r="G24" s="33" t="s">
        <v>2</v>
      </c>
      <c r="H24" s="8"/>
      <c r="I24" s="33" t="s">
        <v>2</v>
      </c>
      <c r="J24" s="8"/>
      <c r="K24" s="12" t="s">
        <v>2</v>
      </c>
      <c r="L24" s="8"/>
      <c r="M24" s="12" t="s">
        <v>2</v>
      </c>
      <c r="N24" s="8"/>
      <c r="O24" s="12" t="s">
        <v>2</v>
      </c>
    </row>
    <row r="25" ht="15.75" customHeight="1">
      <c r="A25" s="16" t="s">
        <v>2</v>
      </c>
      <c r="B25" s="8"/>
      <c r="C25" s="33" t="s">
        <v>2</v>
      </c>
      <c r="D25" s="8"/>
      <c r="E25" s="33" t="s">
        <v>2</v>
      </c>
      <c r="F25" s="8"/>
      <c r="G25" s="33" t="s">
        <v>2</v>
      </c>
      <c r="H25" s="8"/>
      <c r="I25" s="33" t="s">
        <v>2</v>
      </c>
      <c r="J25" s="8"/>
      <c r="K25" s="12" t="s">
        <v>2</v>
      </c>
      <c r="L25" s="8"/>
      <c r="M25" s="12" t="s">
        <v>2</v>
      </c>
      <c r="N25" s="8"/>
      <c r="O25" s="12" t="s">
        <v>2</v>
      </c>
    </row>
    <row r="26" ht="15.75" customHeight="1">
      <c r="A26" s="16" t="s">
        <v>2</v>
      </c>
      <c r="B26" s="8"/>
      <c r="C26" s="33" t="s">
        <v>2</v>
      </c>
      <c r="D26" s="8"/>
      <c r="E26" s="33" t="s">
        <v>2</v>
      </c>
      <c r="F26" s="8"/>
      <c r="G26" s="12" t="s">
        <v>2</v>
      </c>
      <c r="H26" s="8"/>
      <c r="I26" s="33" t="s">
        <v>2</v>
      </c>
      <c r="J26" s="8"/>
      <c r="K26" s="12" t="s">
        <v>2</v>
      </c>
      <c r="L26" s="8"/>
      <c r="M26" s="12" t="s">
        <v>2</v>
      </c>
      <c r="N26" s="8"/>
      <c r="O26" s="12" t="s">
        <v>2</v>
      </c>
    </row>
    <row r="27" ht="15.75" customHeight="1">
      <c r="A27" s="16" t="s">
        <v>2</v>
      </c>
      <c r="B27" s="8"/>
      <c r="C27" s="16" t="s">
        <v>2</v>
      </c>
      <c r="D27" s="8"/>
      <c r="E27" s="33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L27" s="8"/>
      <c r="M27" s="12" t="s">
        <v>2</v>
      </c>
      <c r="N27" s="8"/>
      <c r="O27" s="12" t="s">
        <v>2</v>
      </c>
    </row>
    <row r="28" ht="15.75" customHeight="1">
      <c r="A28" s="16" t="s">
        <v>2</v>
      </c>
      <c r="B28" s="8"/>
      <c r="C28" s="16" t="s">
        <v>2</v>
      </c>
      <c r="D28" s="8"/>
      <c r="E28" s="33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L28" s="8"/>
      <c r="M28" s="12" t="s">
        <v>2</v>
      </c>
      <c r="N28" s="8"/>
      <c r="O28" s="12" t="s">
        <v>2</v>
      </c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L29" s="8"/>
      <c r="M29" s="12" t="s">
        <v>2</v>
      </c>
      <c r="N29" s="8"/>
      <c r="O29" s="12" t="s">
        <v>2</v>
      </c>
    </row>
    <row r="30" ht="15.75" customHeight="1">
      <c r="A30" s="22">
        <f>SUM(A3:A29)</f>
        <v>7107.4844</v>
      </c>
      <c r="B30" s="8"/>
      <c r="C30" s="22">
        <f>SUM(C3:C29)</f>
        <v>7397.8588</v>
      </c>
      <c r="D30" s="23"/>
      <c r="E30" s="22">
        <f>SUM(E3:E29)</f>
        <v>6024.6932</v>
      </c>
      <c r="F30" s="22"/>
      <c r="G30" s="22">
        <f>SUM(G3:G29)</f>
        <v>6536.6385</v>
      </c>
      <c r="H30" s="8"/>
      <c r="I30" s="22">
        <f>SUM(I3:I29)</f>
        <v>6888.1128</v>
      </c>
      <c r="J30" s="8"/>
      <c r="K30" s="22">
        <f>SUM(K3:K29)</f>
        <v>0</v>
      </c>
      <c r="L30" s="8"/>
      <c r="M30" s="22">
        <f>SUM(M3:M29)</f>
        <v>0</v>
      </c>
      <c r="N30" s="8"/>
      <c r="O30" s="22">
        <f>SUM(O3:O29)</f>
        <v>0</v>
      </c>
    </row>
    <row r="31" ht="15.75" customHeight="1">
      <c r="A31" s="7" t="s">
        <v>9</v>
      </c>
      <c r="B31" s="25">
        <f>A30+C30+E30+G30+I30+K30</f>
        <v>33954.7877</v>
      </c>
    </row>
    <row r="32" ht="15.75" customHeight="1">
      <c r="A32" s="34">
        <f>(A30- 7226.79)</f>
        <v>-119.3056</v>
      </c>
      <c r="B32" s="34"/>
      <c r="C32" s="34">
        <f>(C30- 7149.75)</f>
        <v>248.1088</v>
      </c>
      <c r="D32" s="34"/>
      <c r="E32" s="34">
        <f>(E30- 6849.75)</f>
        <v>-825.0568</v>
      </c>
      <c r="F32" s="34"/>
      <c r="G32" s="34">
        <f>(G30- 7184.75)</f>
        <v>-648.1115</v>
      </c>
      <c r="H32" s="34"/>
      <c r="I32" s="34">
        <f>(I30- 7029.75)</f>
        <v>-141.6372</v>
      </c>
      <c r="J32" s="34"/>
      <c r="K32" s="34">
        <f>(K30-0)</f>
        <v>0</v>
      </c>
      <c r="L32" s="34"/>
      <c r="M32" s="34">
        <f>(M30-0)</f>
        <v>0</v>
      </c>
    </row>
    <row r="33" ht="15.75" customHeight="1"/>
    <row r="34" ht="15.75" customHeight="1">
      <c r="C34" s="35" t="s">
        <v>7</v>
      </c>
      <c r="D34" s="29">
        <f>B31</f>
        <v>33954.7877</v>
      </c>
      <c r="E34" s="29">
        <v>33954.7877</v>
      </c>
      <c r="I34" s="17"/>
      <c r="J34" s="18"/>
      <c r="K34" s="17"/>
    </row>
    <row r="35" ht="15.75" customHeight="1">
      <c r="C35" s="35" t="s">
        <v>8</v>
      </c>
      <c r="D35" s="29">
        <f>A32+C32+E32+G32+I32+K32</f>
        <v>-1486.0023</v>
      </c>
      <c r="E35" s="29">
        <v>-1486.0022999999983</v>
      </c>
      <c r="I35" s="19"/>
      <c r="J35" s="20" t="s">
        <v>3</v>
      </c>
      <c r="K35" s="17"/>
    </row>
    <row r="36" ht="15.75" customHeight="1">
      <c r="I36" s="21"/>
      <c r="J36" s="20" t="s">
        <v>4</v>
      </c>
      <c r="K36" s="17"/>
    </row>
    <row r="37" ht="15.75" customHeight="1">
      <c r="I37" s="24"/>
      <c r="J37" s="20" t="s">
        <v>5</v>
      </c>
      <c r="K37" s="17"/>
    </row>
    <row r="38" ht="15.75" customHeight="1">
      <c r="I38" s="17"/>
      <c r="J38" s="18"/>
      <c r="K38" s="17"/>
    </row>
    <row r="39" ht="15.75" customHeight="1">
      <c r="I39" s="17"/>
      <c r="J39" s="18"/>
      <c r="K39" s="1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B31:O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5.75" customHeight="1">
      <c r="A2" s="4">
        <v>3.0</v>
      </c>
      <c r="B2" s="5"/>
      <c r="C2" s="4">
        <v>18.0</v>
      </c>
      <c r="D2" s="7"/>
      <c r="E2" s="4">
        <v>19.0</v>
      </c>
      <c r="F2" s="7"/>
      <c r="G2" s="4">
        <v>809.0</v>
      </c>
      <c r="H2" s="23"/>
      <c r="I2" s="36">
        <v>812.0</v>
      </c>
      <c r="J2" s="23"/>
      <c r="K2" s="36">
        <v>908.0</v>
      </c>
      <c r="M2" s="36">
        <v>1101.0</v>
      </c>
      <c r="O2" s="36">
        <v>1115.0</v>
      </c>
    </row>
    <row r="3" ht="15.75" customHeight="1">
      <c r="A3" s="9">
        <f>(808.4562)/3*1</f>
        <v>269.4854</v>
      </c>
      <c r="B3" s="31"/>
      <c r="C3" s="9">
        <f>(869.217)/3*2</f>
        <v>579.478</v>
      </c>
      <c r="D3" s="8"/>
      <c r="E3" s="9">
        <f>(794.4492)/3*2</f>
        <v>529.6328</v>
      </c>
      <c r="F3" s="8"/>
      <c r="G3" s="9">
        <f> 371.51-( 371.51*13%)</f>
        <v>323.2137</v>
      </c>
      <c r="H3" s="8"/>
      <c r="I3" s="11">
        <v>297.71</v>
      </c>
      <c r="J3" s="8"/>
      <c r="K3" s="9">
        <f>339.5-(339.5*13%)</f>
        <v>295.365</v>
      </c>
      <c r="M3" s="9">
        <f>401.35-(401.35*13%)</f>
        <v>349.1745</v>
      </c>
      <c r="O3" s="9">
        <f>362.25-(362.25*13%)</f>
        <v>315.1575</v>
      </c>
    </row>
    <row r="4" ht="15.75" customHeight="1">
      <c r="A4" s="9">
        <f>272.86-(272.86*13%)</f>
        <v>237.3882</v>
      </c>
      <c r="B4" s="31"/>
      <c r="C4" s="9">
        <f> 787.53-( 787.53*13%)</f>
        <v>685.1511</v>
      </c>
      <c r="D4" s="8"/>
      <c r="E4" s="9">
        <f>287.5-(287.5*13%)</f>
        <v>250.125</v>
      </c>
      <c r="F4" s="8"/>
      <c r="G4" s="30">
        <f>  760-(  760*10%)</f>
        <v>684</v>
      </c>
      <c r="H4" s="8"/>
      <c r="I4" s="9">
        <f>272.86-(272.86*13%)</f>
        <v>237.3882</v>
      </c>
      <c r="J4" s="32"/>
      <c r="K4" s="9">
        <f>658.15-(658.15*13%)</f>
        <v>572.5905</v>
      </c>
      <c r="M4" s="30">
        <f>750-(750*10%)</f>
        <v>675</v>
      </c>
      <c r="O4" s="11">
        <v>783.18</v>
      </c>
    </row>
    <row r="5" ht="15.75" customHeight="1">
      <c r="A5" s="9">
        <f>230-(230*13%)</f>
        <v>200.1</v>
      </c>
      <c r="B5" s="37"/>
      <c r="C5" s="11">
        <v>174.54</v>
      </c>
      <c r="D5" s="8"/>
      <c r="E5" s="9">
        <f>295.37-(295.37*13%)</f>
        <v>256.9719</v>
      </c>
      <c r="F5" s="32"/>
      <c r="G5" s="9">
        <f>  380-(  380*13%)</f>
        <v>330.6</v>
      </c>
      <c r="H5" s="8"/>
      <c r="I5" s="11">
        <v>189.74</v>
      </c>
      <c r="J5" s="8"/>
      <c r="K5" s="11">
        <v>1516.34</v>
      </c>
      <c r="M5" s="9">
        <f> 218.5-( 218.5*13%)</f>
        <v>190.095</v>
      </c>
      <c r="O5" s="11">
        <v>1118.27</v>
      </c>
    </row>
    <row r="6" ht="15.75" customHeight="1">
      <c r="A6" s="9">
        <f>274.22-(274.22*13%)</f>
        <v>238.5714</v>
      </c>
      <c r="B6" s="37"/>
      <c r="C6" s="9">
        <f>192.06-(192.06*13%)</f>
        <v>167.0922</v>
      </c>
      <c r="D6" s="8"/>
      <c r="E6" s="9">
        <f>230-(230*13%)</f>
        <v>200.1</v>
      </c>
      <c r="F6" s="32"/>
      <c r="G6" s="9">
        <f>  241.5-(  241.5*13%)</f>
        <v>210.105</v>
      </c>
      <c r="H6" s="8"/>
      <c r="I6" s="11">
        <v>161.12</v>
      </c>
      <c r="J6" s="8"/>
      <c r="K6" s="11">
        <v>170.11</v>
      </c>
      <c r="M6" s="11">
        <v>322.25</v>
      </c>
      <c r="O6" s="11">
        <v>192.79</v>
      </c>
    </row>
    <row r="7" ht="15.75" customHeight="1">
      <c r="A7" s="15">
        <f>300-(300*10%)</f>
        <v>270</v>
      </c>
      <c r="B7" s="37"/>
      <c r="C7" s="11">
        <v>639.45</v>
      </c>
      <c r="D7" s="8"/>
      <c r="E7" s="9">
        <f> 205.28-( 205.28*13%)</f>
        <v>178.5936</v>
      </c>
      <c r="F7" s="8"/>
      <c r="G7" s="9">
        <f>  470.45-(  470.45*13%)</f>
        <v>409.2915</v>
      </c>
      <c r="H7" s="8"/>
      <c r="I7" s="9">
        <f> 218.5-( 218.5*13%)</f>
        <v>190.095</v>
      </c>
      <c r="J7" s="8"/>
      <c r="K7" s="11">
        <v>151.3</v>
      </c>
      <c r="M7" s="11">
        <v>368.86</v>
      </c>
      <c r="O7" s="9">
        <f>194-(194*13%)</f>
        <v>168.78</v>
      </c>
    </row>
    <row r="8" ht="15.75" customHeight="1">
      <c r="A8" s="15">
        <f>200-(200*10%)</f>
        <v>180</v>
      </c>
      <c r="B8" s="32"/>
      <c r="C8" s="9">
        <f> 150-( 150*13%)</f>
        <v>130.5</v>
      </c>
      <c r="D8" s="8"/>
      <c r="E8" s="9">
        <f> 234.25-( 234.25*13%)</f>
        <v>203.7975</v>
      </c>
      <c r="F8" s="8"/>
      <c r="G8" s="11">
        <v>331.23</v>
      </c>
      <c r="H8" s="8"/>
      <c r="I8" s="30">
        <f> 139.68-( 139.68*10%)</f>
        <v>125.712</v>
      </c>
      <c r="J8" s="8"/>
      <c r="K8" s="11">
        <v>170.11</v>
      </c>
      <c r="M8" s="11">
        <v>151.3</v>
      </c>
      <c r="O8" s="11">
        <v>174.54</v>
      </c>
    </row>
    <row r="9" ht="15.75" customHeight="1">
      <c r="A9" s="9">
        <f>824.5-(824.5*13%)</f>
        <v>717.315</v>
      </c>
      <c r="B9" s="31"/>
      <c r="C9" s="9">
        <f>  194.77-(  194.77*13%)</f>
        <v>169.4499</v>
      </c>
      <c r="D9" s="8"/>
      <c r="E9" s="11">
        <v>227.36</v>
      </c>
      <c r="F9" s="8"/>
      <c r="G9" s="11">
        <v>146.77</v>
      </c>
      <c r="H9" s="8"/>
      <c r="I9" s="30">
        <f>  157.14-(  157.14*10%)</f>
        <v>141.426</v>
      </c>
      <c r="J9" s="8"/>
      <c r="K9" s="11">
        <v>142.31</v>
      </c>
      <c r="M9" s="11">
        <v>161.12</v>
      </c>
      <c r="O9" s="11">
        <v>289.53</v>
      </c>
    </row>
    <row r="10" ht="15.75" customHeight="1">
      <c r="A10" s="15">
        <f> 270-( 270*10%)</f>
        <v>243</v>
      </c>
      <c r="B10" s="31"/>
      <c r="C10" s="11">
        <v>222.26</v>
      </c>
      <c r="D10" s="8"/>
      <c r="E10" s="9">
        <f>213.21-(213.21*13%)</f>
        <v>185.4927</v>
      </c>
      <c r="F10" s="8"/>
      <c r="G10" s="9">
        <f>172.5-(172.5*13%)</f>
        <v>150.075</v>
      </c>
      <c r="H10" s="8"/>
      <c r="I10" s="11">
        <v>170.11</v>
      </c>
      <c r="J10" s="8"/>
      <c r="K10" s="11">
        <v>881.67</v>
      </c>
      <c r="M10" s="11">
        <v>151.3</v>
      </c>
      <c r="O10" s="9">
        <f> 193.2-( 193.2*13%)</f>
        <v>168.084</v>
      </c>
    </row>
    <row r="11" ht="15.75" customHeight="1">
      <c r="A11" s="33" t="s">
        <v>2</v>
      </c>
      <c r="B11" s="38"/>
      <c r="C11" s="39">
        <f> 209.52-( 209.52*13%)</f>
        <v>182.2824</v>
      </c>
      <c r="D11" s="8"/>
      <c r="E11" s="9">
        <f>174.6-(174.6*13%)</f>
        <v>151.902</v>
      </c>
      <c r="F11" s="8"/>
      <c r="G11" s="9">
        <f> 404.59-( 404.59*13%)</f>
        <v>351.9933</v>
      </c>
      <c r="H11" s="8"/>
      <c r="I11" s="11">
        <v>151.3</v>
      </c>
      <c r="J11" s="8"/>
      <c r="K11" s="11">
        <v>189.74</v>
      </c>
      <c r="M11" s="11">
        <v>161.12</v>
      </c>
      <c r="O11" s="11">
        <v>138.04</v>
      </c>
    </row>
    <row r="12" ht="15.75" customHeight="1">
      <c r="A12" s="33" t="s">
        <v>2</v>
      </c>
      <c r="B12" s="10"/>
      <c r="C12" s="39">
        <f>174.6-(174.6*13%)</f>
        <v>151.902</v>
      </c>
      <c r="D12" s="8"/>
      <c r="E12" s="9">
        <f> 184-( 184*13%)</f>
        <v>160.08</v>
      </c>
      <c r="F12" s="8"/>
      <c r="G12" s="11">
        <v>341.06</v>
      </c>
      <c r="H12" s="8"/>
      <c r="I12" s="11">
        <v>142.31</v>
      </c>
      <c r="J12" s="8"/>
      <c r="K12" s="33" t="s">
        <v>2</v>
      </c>
      <c r="M12" s="9">
        <f>1289.16-(1289.16*13%)</f>
        <v>1121.5692</v>
      </c>
      <c r="O12" s="11">
        <v>253.54</v>
      </c>
    </row>
    <row r="13" ht="15.75" customHeight="1">
      <c r="A13" s="33" t="s">
        <v>2</v>
      </c>
      <c r="B13" s="8"/>
      <c r="C13" s="39">
        <f> 218.5-( 218.5*13%)</f>
        <v>190.095</v>
      </c>
      <c r="D13" s="8"/>
      <c r="E13" s="9">
        <f> 372.6-( 372.6*13%)</f>
        <v>324.162</v>
      </c>
      <c r="F13" s="8"/>
      <c r="G13" s="9">
        <f>195.5-(195.5*13%)</f>
        <v>170.085</v>
      </c>
      <c r="H13" s="8"/>
      <c r="I13" s="9">
        <f>1597.59-(1597.59*13%)</f>
        <v>1389.9033</v>
      </c>
      <c r="J13" s="8"/>
      <c r="K13" s="33" t="s">
        <v>2</v>
      </c>
      <c r="M13" s="11">
        <v>170.11</v>
      </c>
      <c r="O13" s="9">
        <f>1298.43-(1298.43*13%)</f>
        <v>1129.6341</v>
      </c>
    </row>
    <row r="14" ht="15.75" customHeight="1">
      <c r="A14" s="33" t="s">
        <v>2</v>
      </c>
      <c r="B14" s="10"/>
      <c r="C14" s="39">
        <f>  669.44-(  669.44*13%)</f>
        <v>582.4128</v>
      </c>
      <c r="D14" s="8"/>
      <c r="E14" s="9">
        <f> 414-( 414*13%)</f>
        <v>360.18</v>
      </c>
      <c r="F14" s="8"/>
      <c r="G14" s="11">
        <v>184.04</v>
      </c>
      <c r="H14" s="8"/>
      <c r="I14" s="9">
        <f>210.83-(210.83*13%)</f>
        <v>183.4221</v>
      </c>
      <c r="J14" s="8"/>
      <c r="K14" s="33" t="s">
        <v>2</v>
      </c>
      <c r="M14" s="11">
        <v>189.74</v>
      </c>
      <c r="O14" s="9">
        <f> 471.5-( 471.5*13%)</f>
        <v>410.205</v>
      </c>
    </row>
    <row r="15" ht="15.75" customHeight="1">
      <c r="A15" s="33" t="s">
        <v>2</v>
      </c>
      <c r="B15" s="10"/>
      <c r="C15" s="39">
        <f>  155.25-(  155.25*13%)</f>
        <v>135.0675</v>
      </c>
      <c r="D15" s="8"/>
      <c r="E15" s="9">
        <f>230-(230*13%)</f>
        <v>200.1</v>
      </c>
      <c r="F15" s="8"/>
      <c r="G15" s="33" t="s">
        <v>2</v>
      </c>
      <c r="H15" s="8"/>
      <c r="I15" s="33" t="s">
        <v>2</v>
      </c>
      <c r="J15" s="8"/>
      <c r="K15" s="33" t="s">
        <v>2</v>
      </c>
      <c r="M15" s="33" t="s">
        <v>2</v>
      </c>
      <c r="O15" s="9">
        <f>  203.21-(  203.21*13%)</f>
        <v>176.7927</v>
      </c>
    </row>
    <row r="16" ht="15.75" customHeight="1">
      <c r="A16" s="16" t="s">
        <v>2</v>
      </c>
      <c r="B16" s="10"/>
      <c r="C16" s="39">
        <f>  375.83-(  375.83*13%)</f>
        <v>326.9721</v>
      </c>
      <c r="D16" s="8"/>
      <c r="E16" s="33" t="s">
        <v>2</v>
      </c>
      <c r="F16" s="8"/>
      <c r="G16" s="33" t="s">
        <v>2</v>
      </c>
      <c r="H16" s="8"/>
      <c r="I16" s="33" t="s">
        <v>2</v>
      </c>
      <c r="J16" s="8"/>
      <c r="K16" s="33" t="s">
        <v>2</v>
      </c>
      <c r="M16" s="33" t="s">
        <v>2</v>
      </c>
      <c r="O16" s="33" t="s">
        <v>2</v>
      </c>
    </row>
    <row r="17" ht="15.75" customHeight="1">
      <c r="A17" s="16" t="s">
        <v>2</v>
      </c>
      <c r="B17" s="10"/>
      <c r="C17" s="39">
        <f>  494.5-(  494.5*13%)</f>
        <v>430.215</v>
      </c>
      <c r="D17" s="8"/>
      <c r="E17" s="33" t="s">
        <v>2</v>
      </c>
      <c r="F17" s="8"/>
      <c r="G17" s="33" t="s">
        <v>2</v>
      </c>
      <c r="H17" s="8"/>
      <c r="I17" s="33" t="s">
        <v>2</v>
      </c>
      <c r="J17" s="8"/>
      <c r="K17" s="33" t="s">
        <v>2</v>
      </c>
      <c r="M17" s="33" t="s">
        <v>2</v>
      </c>
      <c r="O17" s="33" t="s">
        <v>2</v>
      </c>
    </row>
    <row r="18" ht="15.75" customHeight="1">
      <c r="A18" s="16" t="s">
        <v>2</v>
      </c>
      <c r="B18" s="8"/>
      <c r="C18" s="39">
        <f> 414-( 414*13%)</f>
        <v>360.18</v>
      </c>
      <c r="D18" s="8"/>
      <c r="E18" s="33" t="s">
        <v>2</v>
      </c>
      <c r="F18" s="8"/>
      <c r="G18" s="33" t="s">
        <v>2</v>
      </c>
      <c r="H18" s="8"/>
      <c r="I18" s="12" t="s">
        <v>2</v>
      </c>
      <c r="J18" s="8"/>
      <c r="K18" s="33" t="s">
        <v>2</v>
      </c>
      <c r="M18" s="33" t="s">
        <v>2</v>
      </c>
      <c r="O18" s="33" t="s">
        <v>2</v>
      </c>
    </row>
    <row r="19" ht="15.75" customHeight="1">
      <c r="A19" s="16" t="s">
        <v>2</v>
      </c>
      <c r="B19" s="10"/>
      <c r="C19" s="39">
        <f t="shared" ref="C19:C20" si="1">210.83-(210.83*13%)</f>
        <v>183.4221</v>
      </c>
      <c r="D19" s="8"/>
      <c r="E19" s="33" t="s">
        <v>2</v>
      </c>
      <c r="F19" s="8"/>
      <c r="G19" s="33" t="s">
        <v>2</v>
      </c>
      <c r="H19" s="8"/>
      <c r="I19" s="12" t="s">
        <v>2</v>
      </c>
      <c r="J19" s="8"/>
      <c r="K19" s="33" t="s">
        <v>2</v>
      </c>
      <c r="M19" s="33" t="s">
        <v>2</v>
      </c>
      <c r="N19" s="40"/>
      <c r="O19" s="33" t="s">
        <v>2</v>
      </c>
    </row>
    <row r="20" ht="15.75" customHeight="1">
      <c r="A20" s="16" t="s">
        <v>2</v>
      </c>
      <c r="B20" s="10"/>
      <c r="C20" s="39">
        <f t="shared" si="1"/>
        <v>183.4221</v>
      </c>
      <c r="D20" s="8"/>
      <c r="E20" s="12" t="s">
        <v>2</v>
      </c>
      <c r="F20" s="8"/>
      <c r="G20" s="33" t="s">
        <v>2</v>
      </c>
      <c r="H20" s="8"/>
      <c r="I20" s="12" t="s">
        <v>2</v>
      </c>
      <c r="J20" s="8"/>
      <c r="K20" s="33" t="s">
        <v>2</v>
      </c>
      <c r="M20" s="33" t="s">
        <v>2</v>
      </c>
      <c r="N20" s="40"/>
      <c r="O20" s="33" t="s">
        <v>2</v>
      </c>
    </row>
    <row r="21" ht="15.75" customHeight="1">
      <c r="A21" s="16" t="s">
        <v>2</v>
      </c>
      <c r="B21" s="10"/>
      <c r="C21" s="41">
        <v>217.32</v>
      </c>
      <c r="D21" s="8"/>
      <c r="E21" s="12" t="s">
        <v>2</v>
      </c>
      <c r="F21" s="8"/>
      <c r="G21" s="33" t="s">
        <v>2</v>
      </c>
      <c r="H21" s="8"/>
      <c r="I21" s="12" t="s">
        <v>2</v>
      </c>
      <c r="J21" s="8"/>
      <c r="K21" s="33" t="s">
        <v>2</v>
      </c>
      <c r="M21" s="33" t="s">
        <v>2</v>
      </c>
      <c r="N21" s="40"/>
      <c r="O21" s="33" t="s">
        <v>2</v>
      </c>
    </row>
    <row r="22" ht="15.75" customHeight="1">
      <c r="A22" s="16" t="s">
        <v>2</v>
      </c>
      <c r="B22" s="8"/>
      <c r="C22" s="16" t="s">
        <v>2</v>
      </c>
      <c r="D22" s="8"/>
      <c r="E22" s="12" t="s">
        <v>2</v>
      </c>
      <c r="F22" s="8"/>
      <c r="G22" s="33" t="s">
        <v>2</v>
      </c>
      <c r="H22" s="8"/>
      <c r="I22" s="12" t="s">
        <v>2</v>
      </c>
      <c r="J22" s="8"/>
      <c r="K22" s="33" t="s">
        <v>2</v>
      </c>
      <c r="M22" s="33" t="s">
        <v>2</v>
      </c>
      <c r="N22" s="40"/>
      <c r="O22" s="33" t="s">
        <v>2</v>
      </c>
    </row>
    <row r="23" ht="15.75" customHeight="1">
      <c r="A23" s="16" t="s">
        <v>2</v>
      </c>
      <c r="B23" s="8"/>
      <c r="C23" s="16" t="s">
        <v>2</v>
      </c>
      <c r="D23" s="8"/>
      <c r="E23" s="12" t="s">
        <v>2</v>
      </c>
      <c r="F23" s="8"/>
      <c r="G23" s="12" t="s">
        <v>2</v>
      </c>
      <c r="H23" s="8"/>
      <c r="I23" s="12" t="s">
        <v>2</v>
      </c>
      <c r="J23" s="8"/>
      <c r="K23" s="33" t="s">
        <v>2</v>
      </c>
      <c r="M23" s="33" t="s">
        <v>2</v>
      </c>
      <c r="N23" s="40"/>
      <c r="O23" s="33" t="s">
        <v>2</v>
      </c>
    </row>
    <row r="24" ht="15.75" customHeight="1">
      <c r="A24" s="16" t="s">
        <v>2</v>
      </c>
      <c r="B24" s="8"/>
      <c r="C24" s="16" t="s">
        <v>2</v>
      </c>
      <c r="D24" s="8"/>
      <c r="E24" s="12" t="s">
        <v>2</v>
      </c>
      <c r="F24" s="8"/>
      <c r="G24" s="12" t="s">
        <v>2</v>
      </c>
      <c r="H24" s="8"/>
      <c r="I24" s="12" t="s">
        <v>2</v>
      </c>
      <c r="J24" s="8"/>
      <c r="K24" s="12" t="s">
        <v>2</v>
      </c>
      <c r="M24" s="12" t="s">
        <v>2</v>
      </c>
      <c r="N24" s="40"/>
      <c r="O24" s="12" t="s">
        <v>2</v>
      </c>
    </row>
    <row r="25" ht="15.75" customHeight="1">
      <c r="A25" s="16" t="s">
        <v>2</v>
      </c>
      <c r="B25" s="8"/>
      <c r="C25" s="16" t="s">
        <v>2</v>
      </c>
      <c r="D25" s="8"/>
      <c r="E25" s="12" t="s">
        <v>2</v>
      </c>
      <c r="F25" s="8"/>
      <c r="G25" s="12" t="s">
        <v>2</v>
      </c>
      <c r="H25" s="8"/>
      <c r="I25" s="12" t="s">
        <v>2</v>
      </c>
      <c r="J25" s="8"/>
      <c r="K25" s="12" t="s">
        <v>2</v>
      </c>
      <c r="M25" s="12" t="s">
        <v>2</v>
      </c>
      <c r="N25" s="40"/>
      <c r="O25" s="12" t="s">
        <v>2</v>
      </c>
    </row>
    <row r="26" ht="15.75" customHeight="1">
      <c r="A26" s="16" t="s">
        <v>2</v>
      </c>
      <c r="B26" s="8"/>
      <c r="C26" s="16" t="s">
        <v>2</v>
      </c>
      <c r="D26" s="8"/>
      <c r="E26" s="12" t="s">
        <v>2</v>
      </c>
      <c r="F26" s="8"/>
      <c r="G26" s="12" t="s">
        <v>2</v>
      </c>
      <c r="H26" s="8"/>
      <c r="I26" s="12" t="s">
        <v>2</v>
      </c>
      <c r="J26" s="8"/>
      <c r="K26" s="12" t="s">
        <v>2</v>
      </c>
      <c r="M26" s="12" t="s">
        <v>2</v>
      </c>
      <c r="N26" s="40"/>
      <c r="O26" s="12" t="s">
        <v>2</v>
      </c>
    </row>
    <row r="27" ht="15.75" customHeight="1">
      <c r="A27" s="16" t="s">
        <v>2</v>
      </c>
      <c r="B27" s="8"/>
      <c r="C27" s="16" t="s">
        <v>2</v>
      </c>
      <c r="D27" s="8"/>
      <c r="E27" s="12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M27" s="12" t="s">
        <v>2</v>
      </c>
      <c r="N27" s="42"/>
      <c r="O27" s="12" t="s">
        <v>2</v>
      </c>
    </row>
    <row r="28" ht="15.75" customHeight="1">
      <c r="A28" s="16" t="s">
        <v>2</v>
      </c>
      <c r="B28" s="8"/>
      <c r="C28" s="16" t="s">
        <v>2</v>
      </c>
      <c r="D28" s="8"/>
      <c r="E28" s="12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M28" s="12" t="s">
        <v>2</v>
      </c>
      <c r="N28" s="42"/>
      <c r="O28" s="12" t="s">
        <v>2</v>
      </c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M29" s="12" t="s">
        <v>2</v>
      </c>
      <c r="N29" s="42"/>
      <c r="O29" s="12" t="s">
        <v>2</v>
      </c>
    </row>
    <row r="30" ht="15.75" customHeight="1">
      <c r="A30" s="22">
        <f>SUM(A3:A29)</f>
        <v>2355.86</v>
      </c>
      <c r="B30" s="8"/>
      <c r="C30" s="22">
        <f>SUM(C3:C29)</f>
        <v>5711.2122</v>
      </c>
      <c r="D30" s="23"/>
      <c r="E30" s="22">
        <f>SUM(E3:E29)</f>
        <v>3228.4975</v>
      </c>
      <c r="F30" s="22"/>
      <c r="G30" s="22">
        <f>SUM(G3:G29)</f>
        <v>3632.4635</v>
      </c>
      <c r="H30" s="8"/>
      <c r="I30" s="22">
        <f>SUM(I3:I29)</f>
        <v>3380.2366</v>
      </c>
      <c r="J30" s="8"/>
      <c r="K30" s="22">
        <f>SUM(K3:K29)</f>
        <v>4089.5355</v>
      </c>
      <c r="M30" s="22">
        <f>SUM(M3:M29)</f>
        <v>4011.6387</v>
      </c>
      <c r="N30" s="42"/>
      <c r="O30" s="22">
        <f>SUM(O3:O29)</f>
        <v>5318.5433</v>
      </c>
    </row>
    <row r="31" ht="15.75" customHeight="1">
      <c r="A31" s="7" t="s">
        <v>9</v>
      </c>
      <c r="B31" s="25">
        <f>A30+C30+E30+G30+I30+K30+M30+O30</f>
        <v>31727.9873</v>
      </c>
    </row>
    <row r="32" ht="15.75" customHeight="1">
      <c r="A32" s="34">
        <f>(A30-4457.53)</f>
        <v>-2101.67</v>
      </c>
      <c r="B32" s="34"/>
      <c r="C32" s="34">
        <f>(C30-4310.14)</f>
        <v>1401.0722</v>
      </c>
      <c r="D32" s="34"/>
      <c r="E32" s="34">
        <f>(E30-4932.02)</f>
        <v>-1703.5225</v>
      </c>
      <c r="F32" s="34"/>
      <c r="G32" s="34">
        <f>(G30-5083.22)</f>
        <v>-1450.7565</v>
      </c>
      <c r="H32" s="34"/>
      <c r="I32" s="34">
        <f>(I30-4329.84)</f>
        <v>-949.6034</v>
      </c>
      <c r="J32" s="34"/>
      <c r="K32" s="34">
        <f>(K30-4657.53)</f>
        <v>-567.9945</v>
      </c>
      <c r="M32" s="34">
        <f>(M30-5457.53)</f>
        <v>-1445.8913</v>
      </c>
      <c r="N32" s="42"/>
      <c r="O32" s="34">
        <f>(O30-6118.33)</f>
        <v>-799.7867</v>
      </c>
    </row>
    <row r="33" ht="15.75" customHeight="1">
      <c r="N33" s="42"/>
    </row>
    <row r="34" ht="15.75" customHeight="1"/>
    <row r="35" ht="15.75" customHeight="1">
      <c r="D35" s="35" t="s">
        <v>7</v>
      </c>
      <c r="E35" s="29">
        <f>B31</f>
        <v>31727.9873</v>
      </c>
      <c r="F35" s="29">
        <v>31727.9873</v>
      </c>
    </row>
    <row r="36" ht="15.75" customHeight="1">
      <c r="D36" s="35" t="s">
        <v>8</v>
      </c>
      <c r="E36" s="29">
        <f>A32+C32+E32+G32+I32+K32+M32+O32</f>
        <v>-7618.1527</v>
      </c>
      <c r="F36" s="29">
        <v>-7618.1527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B31:O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>
        <v>19.0</v>
      </c>
      <c r="B2" s="5"/>
      <c r="C2" s="43">
        <v>803.0</v>
      </c>
      <c r="D2" s="7"/>
      <c r="E2" s="7" t="s">
        <v>1</v>
      </c>
      <c r="F2" s="7"/>
      <c r="G2" s="7" t="s">
        <v>1</v>
      </c>
      <c r="H2" s="23"/>
      <c r="I2" s="23" t="s">
        <v>1</v>
      </c>
      <c r="J2" s="23"/>
      <c r="K2" s="23" t="s">
        <v>1</v>
      </c>
      <c r="M2" s="8"/>
      <c r="O2" s="8"/>
    </row>
    <row r="3" ht="15.75" customHeight="1">
      <c r="A3" s="15">
        <f>(4500)/31*15</f>
        <v>2177.419355</v>
      </c>
      <c r="B3" s="10"/>
      <c r="C3" s="30">
        <f>662.48</f>
        <v>662.48</v>
      </c>
      <c r="D3" s="8"/>
      <c r="E3" s="12" t="s">
        <v>2</v>
      </c>
      <c r="F3" s="8"/>
      <c r="G3" s="12" t="s">
        <v>2</v>
      </c>
      <c r="H3" s="8"/>
      <c r="I3" s="12" t="s">
        <v>2</v>
      </c>
      <c r="J3" s="8"/>
      <c r="K3" s="12" t="s">
        <v>2</v>
      </c>
      <c r="M3" s="29"/>
      <c r="O3" s="29"/>
    </row>
    <row r="4" ht="15.75" customHeight="1">
      <c r="A4" s="15">
        <f>(4500)/28*13</f>
        <v>2089.285714</v>
      </c>
      <c r="B4" s="10"/>
      <c r="C4" s="16" t="s">
        <v>2</v>
      </c>
      <c r="D4" s="8"/>
      <c r="E4" s="12" t="s">
        <v>2</v>
      </c>
      <c r="F4" s="8"/>
      <c r="G4" s="12" t="s">
        <v>2</v>
      </c>
      <c r="H4" s="8"/>
      <c r="I4" s="12" t="s">
        <v>2</v>
      </c>
      <c r="J4" s="8"/>
      <c r="K4" s="12" t="s">
        <v>2</v>
      </c>
      <c r="M4" s="29"/>
      <c r="O4" s="29"/>
    </row>
    <row r="5" ht="15.75" customHeight="1">
      <c r="A5" s="16" t="s">
        <v>2</v>
      </c>
      <c r="B5" s="10"/>
      <c r="C5" s="16" t="s">
        <v>2</v>
      </c>
      <c r="D5" s="8"/>
      <c r="E5" s="12" t="s">
        <v>2</v>
      </c>
      <c r="F5" s="8"/>
      <c r="G5" s="12" t="s">
        <v>2</v>
      </c>
      <c r="H5" s="8"/>
      <c r="I5" s="12" t="s">
        <v>2</v>
      </c>
      <c r="J5" s="8"/>
      <c r="K5" s="12" t="s">
        <v>2</v>
      </c>
      <c r="M5" s="29"/>
      <c r="O5" s="29"/>
    </row>
    <row r="6" ht="15.75" customHeight="1">
      <c r="A6" s="16" t="s">
        <v>2</v>
      </c>
      <c r="B6" s="14"/>
      <c r="C6" s="16" t="s">
        <v>2</v>
      </c>
      <c r="D6" s="8"/>
      <c r="E6" s="12" t="s">
        <v>2</v>
      </c>
      <c r="F6" s="8"/>
      <c r="G6" s="12" t="s">
        <v>2</v>
      </c>
      <c r="H6" s="8"/>
      <c r="I6" s="12" t="s">
        <v>2</v>
      </c>
      <c r="J6" s="8"/>
      <c r="K6" s="12" t="s">
        <v>2</v>
      </c>
      <c r="M6" s="29"/>
      <c r="O6" s="29"/>
    </row>
    <row r="7" ht="15.75" customHeight="1">
      <c r="A7" s="16" t="s">
        <v>2</v>
      </c>
      <c r="B7" s="14"/>
      <c r="C7" s="16" t="s">
        <v>2</v>
      </c>
      <c r="D7" s="8"/>
      <c r="E7" s="12" t="s">
        <v>2</v>
      </c>
      <c r="F7" s="8"/>
      <c r="G7" s="12" t="s">
        <v>2</v>
      </c>
      <c r="H7" s="8"/>
      <c r="I7" s="12" t="s">
        <v>2</v>
      </c>
      <c r="J7" s="8"/>
      <c r="K7" s="12" t="s">
        <v>2</v>
      </c>
      <c r="M7" s="29"/>
      <c r="O7" s="29"/>
    </row>
    <row r="8" ht="15.75" customHeight="1">
      <c r="A8" s="16" t="s">
        <v>2</v>
      </c>
      <c r="B8" s="8"/>
      <c r="C8" s="16" t="s">
        <v>2</v>
      </c>
      <c r="D8" s="8"/>
      <c r="E8" s="12" t="s">
        <v>2</v>
      </c>
      <c r="F8" s="8"/>
      <c r="G8" s="12" t="s">
        <v>2</v>
      </c>
      <c r="H8" s="8"/>
      <c r="I8" s="12" t="s">
        <v>2</v>
      </c>
      <c r="J8" s="8"/>
      <c r="K8" s="12" t="s">
        <v>2</v>
      </c>
      <c r="M8" s="29"/>
      <c r="O8" s="29"/>
    </row>
    <row r="9" ht="15.75" customHeight="1">
      <c r="A9" s="16" t="s">
        <v>2</v>
      </c>
      <c r="B9" s="10"/>
      <c r="C9" s="16" t="s">
        <v>2</v>
      </c>
      <c r="D9" s="8"/>
      <c r="E9" s="12" t="s">
        <v>2</v>
      </c>
      <c r="F9" s="8"/>
      <c r="G9" s="12" t="s">
        <v>2</v>
      </c>
      <c r="H9" s="8"/>
      <c r="I9" s="12" t="s">
        <v>2</v>
      </c>
      <c r="J9" s="8"/>
      <c r="K9" s="12" t="s">
        <v>2</v>
      </c>
      <c r="M9" s="29"/>
      <c r="O9" s="29"/>
    </row>
    <row r="10" ht="15.75" customHeight="1">
      <c r="A10" s="16" t="s">
        <v>2</v>
      </c>
      <c r="B10" s="10"/>
      <c r="C10" s="16" t="s">
        <v>2</v>
      </c>
      <c r="D10" s="8"/>
      <c r="E10" s="12" t="s">
        <v>2</v>
      </c>
      <c r="F10" s="8"/>
      <c r="G10" s="12" t="s">
        <v>2</v>
      </c>
      <c r="H10" s="8"/>
      <c r="I10" s="12" t="s">
        <v>2</v>
      </c>
      <c r="J10" s="8"/>
      <c r="K10" s="12" t="s">
        <v>2</v>
      </c>
      <c r="M10" s="29"/>
      <c r="O10" s="29"/>
    </row>
    <row r="11" ht="15.75" customHeight="1">
      <c r="A11" s="16" t="s">
        <v>2</v>
      </c>
      <c r="B11" s="10"/>
      <c r="C11" s="16" t="s">
        <v>2</v>
      </c>
      <c r="D11" s="8"/>
      <c r="E11" s="12" t="s">
        <v>2</v>
      </c>
      <c r="F11" s="8"/>
      <c r="G11" s="12" t="s">
        <v>2</v>
      </c>
      <c r="H11" s="8"/>
      <c r="I11" s="12" t="s">
        <v>2</v>
      </c>
      <c r="J11" s="8"/>
      <c r="K11" s="12" t="s">
        <v>2</v>
      </c>
      <c r="M11" s="29"/>
      <c r="O11" s="29"/>
    </row>
    <row r="12" ht="15.75" customHeight="1">
      <c r="A12" s="16" t="s">
        <v>2</v>
      </c>
      <c r="B12" s="10"/>
      <c r="C12" s="16" t="s">
        <v>2</v>
      </c>
      <c r="D12" s="8"/>
      <c r="E12" s="12" t="s">
        <v>2</v>
      </c>
      <c r="F12" s="8"/>
      <c r="G12" s="12" t="s">
        <v>2</v>
      </c>
      <c r="H12" s="8"/>
      <c r="I12" s="12" t="s">
        <v>2</v>
      </c>
      <c r="J12" s="8"/>
      <c r="K12" s="12" t="s">
        <v>2</v>
      </c>
      <c r="M12" s="29"/>
      <c r="O12" s="29"/>
    </row>
    <row r="13" ht="15.75" customHeight="1">
      <c r="A13" s="16" t="s">
        <v>2</v>
      </c>
      <c r="B13" s="8"/>
      <c r="C13" s="16" t="s">
        <v>2</v>
      </c>
      <c r="D13" s="8"/>
      <c r="E13" s="12" t="s">
        <v>2</v>
      </c>
      <c r="F13" s="8"/>
      <c r="G13" s="12" t="s">
        <v>2</v>
      </c>
      <c r="H13" s="8"/>
      <c r="I13" s="12" t="s">
        <v>2</v>
      </c>
      <c r="J13" s="8"/>
      <c r="K13" s="12" t="s">
        <v>2</v>
      </c>
      <c r="M13" s="29"/>
      <c r="O13" s="29"/>
    </row>
    <row r="14" ht="15.75" customHeight="1">
      <c r="A14" s="16" t="s">
        <v>2</v>
      </c>
      <c r="B14" s="10"/>
      <c r="C14" s="16" t="s">
        <v>2</v>
      </c>
      <c r="D14" s="8"/>
      <c r="E14" s="12" t="s">
        <v>2</v>
      </c>
      <c r="F14" s="8"/>
      <c r="G14" s="12" t="s">
        <v>2</v>
      </c>
      <c r="H14" s="8"/>
      <c r="I14" s="12" t="s">
        <v>2</v>
      </c>
      <c r="J14" s="8"/>
      <c r="K14" s="12" t="s">
        <v>2</v>
      </c>
      <c r="M14" s="29"/>
      <c r="O14" s="29"/>
    </row>
    <row r="15" ht="15.75" customHeight="1">
      <c r="A15" s="16" t="s">
        <v>2</v>
      </c>
      <c r="B15" s="10"/>
      <c r="C15" s="16" t="s">
        <v>2</v>
      </c>
      <c r="D15" s="8"/>
      <c r="E15" s="12" t="s">
        <v>2</v>
      </c>
      <c r="F15" s="8"/>
      <c r="G15" s="12" t="s">
        <v>2</v>
      </c>
      <c r="H15" s="8"/>
      <c r="I15" s="12" t="s">
        <v>2</v>
      </c>
      <c r="J15" s="8"/>
      <c r="K15" s="12" t="s">
        <v>2</v>
      </c>
      <c r="M15" s="29"/>
      <c r="O15" s="29"/>
    </row>
    <row r="16" ht="15.75" customHeight="1">
      <c r="A16" s="16" t="s">
        <v>2</v>
      </c>
      <c r="B16" s="10"/>
      <c r="C16" s="16" t="s">
        <v>2</v>
      </c>
      <c r="D16" s="8"/>
      <c r="E16" s="12" t="s">
        <v>2</v>
      </c>
      <c r="F16" s="8"/>
      <c r="G16" s="12" t="s">
        <v>2</v>
      </c>
      <c r="H16" s="8"/>
      <c r="I16" s="12" t="s">
        <v>2</v>
      </c>
      <c r="J16" s="8"/>
      <c r="K16" s="12" t="s">
        <v>2</v>
      </c>
      <c r="M16" s="29"/>
      <c r="O16" s="29"/>
    </row>
    <row r="17" ht="15.75" customHeight="1">
      <c r="A17" s="16" t="s">
        <v>2</v>
      </c>
      <c r="B17" s="10"/>
      <c r="C17" s="16" t="s">
        <v>2</v>
      </c>
      <c r="D17" s="8"/>
      <c r="E17" s="12" t="s">
        <v>2</v>
      </c>
      <c r="F17" s="8"/>
      <c r="G17" s="12" t="s">
        <v>2</v>
      </c>
      <c r="H17" s="8"/>
      <c r="I17" s="12" t="s">
        <v>2</v>
      </c>
      <c r="J17" s="8"/>
      <c r="K17" s="12" t="s">
        <v>2</v>
      </c>
      <c r="M17" s="29"/>
      <c r="O17" s="29"/>
    </row>
    <row r="18" ht="15.75" customHeight="1">
      <c r="A18" s="16" t="s">
        <v>2</v>
      </c>
      <c r="B18" s="8"/>
      <c r="C18" s="16" t="s">
        <v>2</v>
      </c>
      <c r="D18" s="8"/>
      <c r="E18" s="12" t="s">
        <v>2</v>
      </c>
      <c r="F18" s="8"/>
      <c r="G18" s="12" t="s">
        <v>2</v>
      </c>
      <c r="H18" s="8"/>
      <c r="I18" s="12" t="s">
        <v>2</v>
      </c>
      <c r="J18" s="8"/>
      <c r="K18" s="12" t="s">
        <v>2</v>
      </c>
      <c r="M18" s="29"/>
      <c r="O18" s="29"/>
    </row>
    <row r="19" ht="15.75" customHeight="1">
      <c r="A19" s="16" t="s">
        <v>2</v>
      </c>
      <c r="B19" s="10"/>
      <c r="C19" s="16" t="s">
        <v>2</v>
      </c>
      <c r="D19" s="8"/>
      <c r="E19" s="12" t="s">
        <v>2</v>
      </c>
      <c r="F19" s="8"/>
      <c r="G19" s="12" t="s">
        <v>2</v>
      </c>
      <c r="H19" s="8"/>
      <c r="I19" s="12" t="s">
        <v>2</v>
      </c>
      <c r="J19" s="8"/>
      <c r="K19" s="12" t="s">
        <v>2</v>
      </c>
      <c r="M19" s="29"/>
      <c r="O19" s="29"/>
    </row>
    <row r="20" ht="15.75" customHeight="1">
      <c r="A20" s="16" t="s">
        <v>2</v>
      </c>
      <c r="B20" s="10"/>
      <c r="C20" s="16" t="s">
        <v>2</v>
      </c>
      <c r="D20" s="8"/>
      <c r="E20" s="12" t="s">
        <v>2</v>
      </c>
      <c r="F20" s="8"/>
      <c r="G20" s="12" t="s">
        <v>2</v>
      </c>
      <c r="H20" s="8"/>
      <c r="I20" s="12" t="s">
        <v>2</v>
      </c>
      <c r="J20" s="8"/>
      <c r="K20" s="12" t="s">
        <v>2</v>
      </c>
      <c r="L20" s="19"/>
      <c r="M20" s="20" t="s">
        <v>3</v>
      </c>
      <c r="O20" s="29"/>
    </row>
    <row r="21" ht="15.75" customHeight="1">
      <c r="A21" s="16" t="s">
        <v>2</v>
      </c>
      <c r="B21" s="10"/>
      <c r="C21" s="16" t="s">
        <v>2</v>
      </c>
      <c r="D21" s="8"/>
      <c r="E21" s="12" t="s">
        <v>2</v>
      </c>
      <c r="F21" s="8"/>
      <c r="G21" s="12" t="s">
        <v>2</v>
      </c>
      <c r="H21" s="8"/>
      <c r="I21" s="12" t="s">
        <v>2</v>
      </c>
      <c r="J21" s="8"/>
      <c r="K21" s="12" t="s">
        <v>2</v>
      </c>
      <c r="L21" s="21"/>
      <c r="M21" s="20" t="s">
        <v>4</v>
      </c>
      <c r="O21" s="29"/>
    </row>
    <row r="22" ht="15.75" customHeight="1">
      <c r="A22" s="16" t="s">
        <v>2</v>
      </c>
      <c r="B22" s="8"/>
      <c r="C22" s="16" t="s">
        <v>2</v>
      </c>
      <c r="D22" s="8"/>
      <c r="E22" s="12" t="s">
        <v>2</v>
      </c>
      <c r="F22" s="8"/>
      <c r="G22" s="12" t="s">
        <v>2</v>
      </c>
      <c r="H22" s="8"/>
      <c r="I22" s="12" t="s">
        <v>2</v>
      </c>
      <c r="J22" s="8"/>
      <c r="K22" s="12" t="s">
        <v>2</v>
      </c>
      <c r="L22" s="24"/>
      <c r="M22" s="20" t="s">
        <v>5</v>
      </c>
      <c r="O22" s="29"/>
    </row>
    <row r="23" ht="15.75" customHeight="1">
      <c r="A23" s="16" t="s">
        <v>2</v>
      </c>
      <c r="B23" s="8"/>
      <c r="C23" s="16" t="s">
        <v>2</v>
      </c>
      <c r="D23" s="8"/>
      <c r="E23" s="12" t="s">
        <v>2</v>
      </c>
      <c r="F23" s="8"/>
      <c r="G23" s="12" t="s">
        <v>2</v>
      </c>
      <c r="H23" s="8"/>
      <c r="I23" s="12" t="s">
        <v>2</v>
      </c>
      <c r="J23" s="8"/>
      <c r="K23" s="12" t="s">
        <v>2</v>
      </c>
      <c r="M23" s="29"/>
      <c r="O23" s="29"/>
    </row>
    <row r="24" ht="15.75" customHeight="1">
      <c r="A24" s="16" t="s">
        <v>2</v>
      </c>
      <c r="B24" s="8"/>
      <c r="C24" s="16" t="s">
        <v>2</v>
      </c>
      <c r="D24" s="8"/>
      <c r="E24" s="12" t="s">
        <v>2</v>
      </c>
      <c r="F24" s="8"/>
      <c r="G24" s="12" t="s">
        <v>2</v>
      </c>
      <c r="H24" s="8"/>
      <c r="I24" s="12" t="s">
        <v>2</v>
      </c>
      <c r="J24" s="8"/>
      <c r="K24" s="12" t="s">
        <v>2</v>
      </c>
      <c r="M24" s="29"/>
      <c r="O24" s="29"/>
    </row>
    <row r="25" ht="15.75" customHeight="1">
      <c r="A25" s="16" t="s">
        <v>2</v>
      </c>
      <c r="B25" s="8"/>
      <c r="C25" s="16" t="s">
        <v>2</v>
      </c>
      <c r="D25" s="8"/>
      <c r="E25" s="12" t="s">
        <v>2</v>
      </c>
      <c r="F25" s="8"/>
      <c r="G25" s="12" t="s">
        <v>2</v>
      </c>
      <c r="H25" s="8"/>
      <c r="I25" s="12" t="s">
        <v>2</v>
      </c>
      <c r="J25" s="8"/>
      <c r="K25" s="12" t="s">
        <v>2</v>
      </c>
      <c r="M25" s="29"/>
      <c r="O25" s="29"/>
    </row>
    <row r="26" ht="15.75" customHeight="1">
      <c r="A26" s="16" t="s">
        <v>2</v>
      </c>
      <c r="B26" s="8"/>
      <c r="C26" s="16" t="s">
        <v>2</v>
      </c>
      <c r="D26" s="8"/>
      <c r="E26" s="12" t="s">
        <v>2</v>
      </c>
      <c r="F26" s="8"/>
      <c r="G26" s="12" t="s">
        <v>2</v>
      </c>
      <c r="H26" s="8"/>
      <c r="I26" s="12" t="s">
        <v>2</v>
      </c>
      <c r="J26" s="8"/>
      <c r="K26" s="12" t="s">
        <v>2</v>
      </c>
      <c r="M26" s="29"/>
      <c r="O26" s="29"/>
    </row>
    <row r="27" ht="15.75" customHeight="1">
      <c r="A27" s="16" t="s">
        <v>2</v>
      </c>
      <c r="B27" s="8"/>
      <c r="C27" s="16" t="s">
        <v>2</v>
      </c>
      <c r="D27" s="8"/>
      <c r="E27" s="12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M27" s="29"/>
      <c r="O27" s="29"/>
    </row>
    <row r="28" ht="15.75" customHeight="1">
      <c r="A28" s="16" t="s">
        <v>2</v>
      </c>
      <c r="B28" s="8"/>
      <c r="C28" s="16" t="s">
        <v>2</v>
      </c>
      <c r="D28" s="8"/>
      <c r="E28" s="12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M28" s="29"/>
      <c r="O28" s="29"/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M29" s="29"/>
      <c r="O29" s="29"/>
    </row>
    <row r="30" ht="15.75" customHeight="1">
      <c r="A30" s="22">
        <f>SUM(A3:A29)</f>
        <v>4266.705069</v>
      </c>
      <c r="B30" s="8"/>
      <c r="C30" s="22">
        <f>SUM(C3:C29)</f>
        <v>662.48</v>
      </c>
      <c r="D30" s="23"/>
      <c r="E30" s="22">
        <f>SUM(E3:E29)</f>
        <v>0</v>
      </c>
      <c r="F30" s="22"/>
      <c r="G30" s="22">
        <f>SUM(G3:G29)</f>
        <v>0</v>
      </c>
      <c r="H30" s="8"/>
      <c r="I30" s="22">
        <f>SUM(I3:I29)</f>
        <v>0</v>
      </c>
      <c r="J30" s="8"/>
      <c r="K30" s="22">
        <f>SUM(K3:K29)</f>
        <v>0</v>
      </c>
      <c r="M30" s="28"/>
      <c r="O30" s="28"/>
    </row>
    <row r="31" ht="15.75" customHeight="1">
      <c r="A31" s="7" t="s">
        <v>9</v>
      </c>
      <c r="B31" s="25">
        <f>A30+C30+E30+G30+I30+K30</f>
        <v>4929.185069</v>
      </c>
    </row>
    <row r="32" ht="15.75" customHeight="1">
      <c r="A32" s="34">
        <f>(A30-4214.42)</f>
        <v>52.28506912</v>
      </c>
      <c r="B32" s="34"/>
      <c r="C32" s="34">
        <f>(C30-2914.92)</f>
        <v>-2252.44</v>
      </c>
      <c r="D32" s="34"/>
      <c r="E32" s="34">
        <f>(E30-0)</f>
        <v>0</v>
      </c>
      <c r="F32" s="34"/>
      <c r="G32" s="34">
        <f>(G30-0)</f>
        <v>0</v>
      </c>
      <c r="H32" s="34"/>
      <c r="I32" s="34">
        <f>(I30-0)</f>
        <v>0</v>
      </c>
      <c r="J32" s="34"/>
      <c r="K32" s="34">
        <f>(K30-0)</f>
        <v>0</v>
      </c>
    </row>
    <row r="33" ht="15.75" customHeight="1"/>
    <row r="34" ht="15.75" customHeight="1">
      <c r="C34" s="35" t="s">
        <v>7</v>
      </c>
      <c r="D34" s="29">
        <f>B31</f>
        <v>4929.185069</v>
      </c>
      <c r="E34" s="29">
        <v>4929.1850691244235</v>
      </c>
    </row>
    <row r="35" ht="15.75" customHeight="1">
      <c r="C35" s="35" t="s">
        <v>8</v>
      </c>
      <c r="D35" s="29">
        <f>A32+C32+E32+G32+I32+K32</f>
        <v>-2200.154931</v>
      </c>
      <c r="E35" s="29">
        <v>-2200.154930875576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B31:K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36">
        <v>220.0</v>
      </c>
      <c r="B2" s="5"/>
      <c r="C2" s="44" t="s">
        <v>1</v>
      </c>
      <c r="D2" s="7"/>
      <c r="E2" s="7" t="s">
        <v>1</v>
      </c>
      <c r="F2" s="7"/>
      <c r="G2" s="7" t="s">
        <v>1</v>
      </c>
      <c r="H2" s="23"/>
      <c r="I2" s="23" t="s">
        <v>1</v>
      </c>
      <c r="J2" s="23"/>
      <c r="K2" s="23" t="s">
        <v>1</v>
      </c>
      <c r="M2" s="8"/>
      <c r="O2" s="8"/>
    </row>
    <row r="3" ht="15.75" customHeight="1">
      <c r="A3" s="9">
        <f> 211.94-( 211.94*13%)</f>
        <v>184.3878</v>
      </c>
      <c r="B3" s="10"/>
      <c r="C3" s="16" t="s">
        <v>2</v>
      </c>
      <c r="D3" s="8"/>
      <c r="E3" s="12" t="s">
        <v>2</v>
      </c>
      <c r="F3" s="8"/>
      <c r="G3" s="12" t="s">
        <v>2</v>
      </c>
      <c r="H3" s="8"/>
      <c r="I3" s="12" t="s">
        <v>2</v>
      </c>
      <c r="J3" s="8"/>
      <c r="K3" s="12" t="s">
        <v>2</v>
      </c>
      <c r="M3" s="29"/>
      <c r="O3" s="29"/>
    </row>
    <row r="4" ht="15.75" customHeight="1">
      <c r="A4" s="11">
        <v>151.3</v>
      </c>
      <c r="B4" s="10"/>
      <c r="C4" s="16" t="s">
        <v>2</v>
      </c>
      <c r="D4" s="8"/>
      <c r="E4" s="12" t="s">
        <v>2</v>
      </c>
      <c r="F4" s="8"/>
      <c r="G4" s="12" t="s">
        <v>2</v>
      </c>
      <c r="H4" s="8"/>
      <c r="I4" s="12" t="s">
        <v>2</v>
      </c>
      <c r="J4" s="8"/>
      <c r="K4" s="12" t="s">
        <v>2</v>
      </c>
      <c r="M4" s="29"/>
      <c r="O4" s="29"/>
    </row>
    <row r="5" ht="15.75" customHeight="1">
      <c r="A5" s="11">
        <v>227.36</v>
      </c>
      <c r="B5" s="10"/>
      <c r="C5" s="16" t="s">
        <v>2</v>
      </c>
      <c r="D5" s="8"/>
      <c r="E5" s="12" t="s">
        <v>2</v>
      </c>
      <c r="F5" s="8"/>
      <c r="G5" s="12" t="s">
        <v>2</v>
      </c>
      <c r="H5" s="8"/>
      <c r="I5" s="12" t="s">
        <v>2</v>
      </c>
      <c r="J5" s="8"/>
      <c r="K5" s="12" t="s">
        <v>2</v>
      </c>
      <c r="M5" s="29"/>
      <c r="O5" s="29"/>
    </row>
    <row r="6" ht="15.75" customHeight="1">
      <c r="A6" s="9">
        <f>178.48-(178.48*13%)</f>
        <v>155.2776</v>
      </c>
      <c r="B6" s="14"/>
      <c r="C6" s="16" t="s">
        <v>2</v>
      </c>
      <c r="D6" s="8"/>
      <c r="E6" s="12" t="s">
        <v>2</v>
      </c>
      <c r="F6" s="8"/>
      <c r="G6" s="12" t="s">
        <v>2</v>
      </c>
      <c r="H6" s="8"/>
      <c r="I6" s="12" t="s">
        <v>2</v>
      </c>
      <c r="J6" s="8"/>
      <c r="K6" s="12" t="s">
        <v>2</v>
      </c>
      <c r="M6" s="29"/>
      <c r="O6" s="29"/>
    </row>
    <row r="7" ht="15.75" customHeight="1">
      <c r="A7" s="11">
        <v>142.31</v>
      </c>
      <c r="B7" s="14"/>
      <c r="C7" s="16" t="s">
        <v>2</v>
      </c>
      <c r="D7" s="8"/>
      <c r="E7" s="12" t="s">
        <v>2</v>
      </c>
      <c r="F7" s="8"/>
      <c r="G7" s="12" t="s">
        <v>2</v>
      </c>
      <c r="H7" s="8"/>
      <c r="I7" s="12" t="s">
        <v>2</v>
      </c>
      <c r="J7" s="8"/>
      <c r="K7" s="12" t="s">
        <v>2</v>
      </c>
      <c r="M7" s="29"/>
      <c r="O7" s="29"/>
    </row>
    <row r="8" ht="15.75" customHeight="1">
      <c r="A8" s="11">
        <v>161.12</v>
      </c>
      <c r="B8" s="8"/>
      <c r="C8" s="16" t="s">
        <v>2</v>
      </c>
      <c r="D8" s="8"/>
      <c r="E8" s="12" t="s">
        <v>2</v>
      </c>
      <c r="F8" s="8"/>
      <c r="G8" s="12" t="s">
        <v>2</v>
      </c>
      <c r="H8" s="8"/>
      <c r="I8" s="12" t="s">
        <v>2</v>
      </c>
      <c r="J8" s="8"/>
      <c r="K8" s="12" t="s">
        <v>2</v>
      </c>
      <c r="M8" s="29"/>
      <c r="O8" s="29"/>
    </row>
    <row r="9" ht="15.75" customHeight="1">
      <c r="A9" s="9">
        <f>358.9-(358.9*13%)</f>
        <v>312.243</v>
      </c>
      <c r="B9" s="10"/>
      <c r="C9" s="16" t="s">
        <v>2</v>
      </c>
      <c r="D9" s="8"/>
      <c r="E9" s="12" t="s">
        <v>2</v>
      </c>
      <c r="F9" s="8"/>
      <c r="G9" s="12" t="s">
        <v>2</v>
      </c>
      <c r="H9" s="8"/>
      <c r="I9" s="12" t="s">
        <v>2</v>
      </c>
      <c r="J9" s="8"/>
      <c r="K9" s="12" t="s">
        <v>2</v>
      </c>
      <c r="M9" s="29"/>
      <c r="O9" s="29"/>
    </row>
    <row r="10" ht="15.75" customHeight="1">
      <c r="A10" s="9">
        <f> 195.5-( 195.5*13%)</f>
        <v>170.085</v>
      </c>
      <c r="B10" s="10"/>
      <c r="C10" s="16" t="s">
        <v>2</v>
      </c>
      <c r="D10" s="8"/>
      <c r="E10" s="12" t="s">
        <v>2</v>
      </c>
      <c r="F10" s="8"/>
      <c r="G10" s="12" t="s">
        <v>2</v>
      </c>
      <c r="H10" s="8"/>
      <c r="I10" s="12" t="s">
        <v>2</v>
      </c>
      <c r="J10" s="8"/>
      <c r="K10" s="12" t="s">
        <v>2</v>
      </c>
      <c r="M10" s="29"/>
      <c r="O10" s="29"/>
    </row>
    <row r="11" ht="15.75" customHeight="1">
      <c r="A11" s="9">
        <f>  161-(  161*13%)</f>
        <v>140.07</v>
      </c>
      <c r="B11" s="10"/>
      <c r="C11" s="16" t="s">
        <v>2</v>
      </c>
      <c r="D11" s="8"/>
      <c r="E11" s="12" t="s">
        <v>2</v>
      </c>
      <c r="F11" s="8"/>
      <c r="G11" s="12" t="s">
        <v>2</v>
      </c>
      <c r="H11" s="8"/>
      <c r="I11" s="12" t="s">
        <v>2</v>
      </c>
      <c r="J11" s="8"/>
      <c r="K11" s="12" t="s">
        <v>2</v>
      </c>
      <c r="M11" s="29"/>
      <c r="O11" s="29"/>
    </row>
    <row r="12" ht="15.75" customHeight="1">
      <c r="A12" s="9">
        <f>   1528.24-(   1528.24*13%)</f>
        <v>1329.5688</v>
      </c>
      <c r="B12" s="10"/>
      <c r="C12" s="16" t="s">
        <v>2</v>
      </c>
      <c r="D12" s="8"/>
      <c r="E12" s="12" t="s">
        <v>2</v>
      </c>
      <c r="F12" s="8"/>
      <c r="G12" s="12" t="s">
        <v>2</v>
      </c>
      <c r="H12" s="8"/>
      <c r="I12" s="12" t="s">
        <v>2</v>
      </c>
      <c r="J12" s="8"/>
      <c r="K12" s="12" t="s">
        <v>2</v>
      </c>
      <c r="M12" s="29"/>
      <c r="O12" s="29"/>
    </row>
    <row r="13" ht="15.75" customHeight="1">
      <c r="A13" s="11">
        <v>151.3</v>
      </c>
      <c r="B13" s="8"/>
      <c r="C13" s="16" t="s">
        <v>2</v>
      </c>
      <c r="D13" s="8"/>
      <c r="E13" s="12" t="s">
        <v>2</v>
      </c>
      <c r="F13" s="8"/>
      <c r="G13" s="12" t="s">
        <v>2</v>
      </c>
      <c r="H13" s="8"/>
      <c r="I13" s="12" t="s">
        <v>2</v>
      </c>
      <c r="J13" s="8"/>
      <c r="K13" s="12" t="s">
        <v>2</v>
      </c>
      <c r="M13" s="29"/>
      <c r="O13" s="29"/>
    </row>
    <row r="14" ht="15.75" customHeight="1">
      <c r="A14" s="9">
        <f>218.5-(218.5*13%)</f>
        <v>190.095</v>
      </c>
      <c r="B14" s="10"/>
      <c r="C14" s="16" t="s">
        <v>2</v>
      </c>
      <c r="D14" s="8"/>
      <c r="E14" s="12" t="s">
        <v>2</v>
      </c>
      <c r="F14" s="8"/>
      <c r="G14" s="12" t="s">
        <v>2</v>
      </c>
      <c r="H14" s="8"/>
      <c r="I14" s="12" t="s">
        <v>2</v>
      </c>
      <c r="J14" s="8"/>
      <c r="K14" s="12" t="s">
        <v>2</v>
      </c>
      <c r="M14" s="29"/>
      <c r="O14" s="29"/>
    </row>
    <row r="15" ht="15.75" customHeight="1">
      <c r="A15" s="16" t="s">
        <v>2</v>
      </c>
      <c r="B15" s="10"/>
      <c r="C15" s="16" t="s">
        <v>2</v>
      </c>
      <c r="D15" s="8"/>
      <c r="E15" s="12" t="s">
        <v>2</v>
      </c>
      <c r="F15" s="8"/>
      <c r="G15" s="12" t="s">
        <v>2</v>
      </c>
      <c r="H15" s="8"/>
      <c r="I15" s="12" t="s">
        <v>2</v>
      </c>
      <c r="J15" s="8"/>
      <c r="K15" s="12" t="s">
        <v>2</v>
      </c>
      <c r="M15" s="29"/>
      <c r="O15" s="29"/>
    </row>
    <row r="16" ht="15.75" customHeight="1">
      <c r="A16" s="16" t="s">
        <v>2</v>
      </c>
      <c r="B16" s="10"/>
      <c r="C16" s="16" t="s">
        <v>2</v>
      </c>
      <c r="D16" s="8"/>
      <c r="E16" s="12" t="s">
        <v>2</v>
      </c>
      <c r="F16" s="8"/>
      <c r="G16" s="12" t="s">
        <v>2</v>
      </c>
      <c r="H16" s="8"/>
      <c r="I16" s="12" t="s">
        <v>2</v>
      </c>
      <c r="J16" s="8"/>
      <c r="K16" s="12" t="s">
        <v>2</v>
      </c>
      <c r="M16" s="29"/>
      <c r="O16" s="29"/>
    </row>
    <row r="17" ht="15.75" customHeight="1">
      <c r="A17" s="16" t="s">
        <v>2</v>
      </c>
      <c r="B17" s="10"/>
      <c r="C17" s="16" t="s">
        <v>2</v>
      </c>
      <c r="D17" s="8"/>
      <c r="E17" s="12" t="s">
        <v>2</v>
      </c>
      <c r="F17" s="8"/>
      <c r="G17" s="12" t="s">
        <v>2</v>
      </c>
      <c r="H17" s="8"/>
      <c r="I17" s="12" t="s">
        <v>2</v>
      </c>
      <c r="J17" s="8"/>
      <c r="K17" s="12" t="s">
        <v>2</v>
      </c>
      <c r="M17" s="29"/>
      <c r="O17" s="29"/>
    </row>
    <row r="18" ht="15.75" customHeight="1">
      <c r="A18" s="16" t="s">
        <v>2</v>
      </c>
      <c r="B18" s="8"/>
      <c r="C18" s="16" t="s">
        <v>2</v>
      </c>
      <c r="D18" s="8"/>
      <c r="E18" s="12" t="s">
        <v>2</v>
      </c>
      <c r="F18" s="8"/>
      <c r="G18" s="12" t="s">
        <v>2</v>
      </c>
      <c r="H18" s="8"/>
      <c r="I18" s="12" t="s">
        <v>2</v>
      </c>
      <c r="J18" s="8"/>
      <c r="K18" s="12" t="s">
        <v>2</v>
      </c>
      <c r="M18" s="29"/>
      <c r="O18" s="29"/>
    </row>
    <row r="19" ht="15.75" customHeight="1">
      <c r="A19" s="16" t="s">
        <v>2</v>
      </c>
      <c r="B19" s="10"/>
      <c r="C19" s="16" t="s">
        <v>2</v>
      </c>
      <c r="D19" s="8"/>
      <c r="E19" s="12" t="s">
        <v>2</v>
      </c>
      <c r="F19" s="8"/>
      <c r="G19" s="12" t="s">
        <v>2</v>
      </c>
      <c r="H19" s="8"/>
      <c r="I19" s="12" t="s">
        <v>2</v>
      </c>
      <c r="J19" s="8"/>
      <c r="K19" s="12" t="s">
        <v>2</v>
      </c>
      <c r="M19" s="29"/>
      <c r="O19" s="29"/>
    </row>
    <row r="20" ht="15.75" customHeight="1">
      <c r="A20" s="16" t="s">
        <v>2</v>
      </c>
      <c r="B20" s="10"/>
      <c r="C20" s="16" t="s">
        <v>2</v>
      </c>
      <c r="D20" s="8"/>
      <c r="E20" s="12" t="s">
        <v>2</v>
      </c>
      <c r="F20" s="8"/>
      <c r="G20" s="12" t="s">
        <v>2</v>
      </c>
      <c r="H20" s="8"/>
      <c r="I20" s="12" t="s">
        <v>2</v>
      </c>
      <c r="J20" s="8"/>
      <c r="K20" s="12" t="s">
        <v>2</v>
      </c>
      <c r="L20" s="19"/>
      <c r="M20" s="20" t="s">
        <v>3</v>
      </c>
      <c r="O20" s="29"/>
    </row>
    <row r="21" ht="15.75" customHeight="1">
      <c r="A21" s="16" t="s">
        <v>2</v>
      </c>
      <c r="B21" s="10"/>
      <c r="C21" s="16" t="s">
        <v>2</v>
      </c>
      <c r="D21" s="8"/>
      <c r="E21" s="12" t="s">
        <v>2</v>
      </c>
      <c r="F21" s="8"/>
      <c r="G21" s="12" t="s">
        <v>2</v>
      </c>
      <c r="H21" s="8"/>
      <c r="I21" s="12" t="s">
        <v>2</v>
      </c>
      <c r="J21" s="8"/>
      <c r="K21" s="12" t="s">
        <v>2</v>
      </c>
      <c r="L21" s="21"/>
      <c r="M21" s="20" t="s">
        <v>4</v>
      </c>
      <c r="O21" s="29"/>
    </row>
    <row r="22" ht="15.75" customHeight="1">
      <c r="A22" s="16" t="s">
        <v>2</v>
      </c>
      <c r="B22" s="8"/>
      <c r="C22" s="16" t="s">
        <v>2</v>
      </c>
      <c r="D22" s="8"/>
      <c r="E22" s="12" t="s">
        <v>2</v>
      </c>
      <c r="F22" s="8"/>
      <c r="G22" s="12" t="s">
        <v>2</v>
      </c>
      <c r="H22" s="8"/>
      <c r="I22" s="12" t="s">
        <v>2</v>
      </c>
      <c r="J22" s="8"/>
      <c r="K22" s="12" t="s">
        <v>2</v>
      </c>
      <c r="L22" s="24"/>
      <c r="M22" s="20" t="s">
        <v>5</v>
      </c>
      <c r="O22" s="29"/>
    </row>
    <row r="23" ht="15.75" customHeight="1">
      <c r="A23" s="16" t="s">
        <v>2</v>
      </c>
      <c r="B23" s="8"/>
      <c r="C23" s="16" t="s">
        <v>2</v>
      </c>
      <c r="D23" s="8"/>
      <c r="E23" s="12" t="s">
        <v>2</v>
      </c>
      <c r="F23" s="8"/>
      <c r="G23" s="12" t="s">
        <v>2</v>
      </c>
      <c r="H23" s="8"/>
      <c r="I23" s="12" t="s">
        <v>2</v>
      </c>
      <c r="J23" s="8"/>
      <c r="K23" s="12" t="s">
        <v>2</v>
      </c>
      <c r="M23" s="29"/>
      <c r="O23" s="29"/>
    </row>
    <row r="24" ht="15.75" customHeight="1">
      <c r="A24" s="16" t="s">
        <v>2</v>
      </c>
      <c r="B24" s="8"/>
      <c r="C24" s="16" t="s">
        <v>2</v>
      </c>
      <c r="D24" s="8"/>
      <c r="E24" s="12" t="s">
        <v>2</v>
      </c>
      <c r="F24" s="8"/>
      <c r="G24" s="12" t="s">
        <v>2</v>
      </c>
      <c r="H24" s="8"/>
      <c r="I24" s="12" t="s">
        <v>2</v>
      </c>
      <c r="J24" s="8"/>
      <c r="K24" s="12" t="s">
        <v>2</v>
      </c>
      <c r="M24" s="29"/>
      <c r="O24" s="29"/>
    </row>
    <row r="25" ht="15.75" customHeight="1">
      <c r="A25" s="16" t="s">
        <v>2</v>
      </c>
      <c r="B25" s="8"/>
      <c r="C25" s="16" t="s">
        <v>2</v>
      </c>
      <c r="D25" s="8"/>
      <c r="E25" s="12" t="s">
        <v>2</v>
      </c>
      <c r="F25" s="8"/>
      <c r="G25" s="12" t="s">
        <v>2</v>
      </c>
      <c r="H25" s="8"/>
      <c r="I25" s="12" t="s">
        <v>2</v>
      </c>
      <c r="J25" s="8"/>
      <c r="K25" s="12" t="s">
        <v>2</v>
      </c>
      <c r="M25" s="29"/>
      <c r="O25" s="29"/>
    </row>
    <row r="26" ht="15.75" customHeight="1">
      <c r="A26" s="16" t="s">
        <v>2</v>
      </c>
      <c r="B26" s="8"/>
      <c r="C26" s="16" t="s">
        <v>2</v>
      </c>
      <c r="D26" s="8"/>
      <c r="E26" s="12" t="s">
        <v>2</v>
      </c>
      <c r="F26" s="8"/>
      <c r="G26" s="12" t="s">
        <v>2</v>
      </c>
      <c r="H26" s="8"/>
      <c r="I26" s="12" t="s">
        <v>2</v>
      </c>
      <c r="J26" s="8"/>
      <c r="K26" s="12" t="s">
        <v>2</v>
      </c>
      <c r="M26" s="29"/>
      <c r="O26" s="29"/>
    </row>
    <row r="27" ht="15.75" customHeight="1">
      <c r="A27" s="16" t="s">
        <v>2</v>
      </c>
      <c r="B27" s="8"/>
      <c r="C27" s="16" t="s">
        <v>2</v>
      </c>
      <c r="D27" s="8"/>
      <c r="E27" s="12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M27" s="29"/>
      <c r="O27" s="29"/>
    </row>
    <row r="28" ht="15.75" customHeight="1">
      <c r="A28" s="16" t="s">
        <v>2</v>
      </c>
      <c r="B28" s="8"/>
      <c r="C28" s="16" t="s">
        <v>2</v>
      </c>
      <c r="D28" s="8"/>
      <c r="E28" s="12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M28" s="29"/>
      <c r="O28" s="29"/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M29" s="29"/>
      <c r="O29" s="29"/>
    </row>
    <row r="30" ht="15.75" customHeight="1">
      <c r="A30" s="22">
        <f>SUM(A3:A29)</f>
        <v>3315.1172</v>
      </c>
      <c r="B30" s="8"/>
      <c r="C30" s="22">
        <f>SUM(C3:C29)</f>
        <v>0</v>
      </c>
      <c r="D30" s="23"/>
      <c r="E30" s="22">
        <f>SUM(E3:E29)</f>
        <v>0</v>
      </c>
      <c r="F30" s="22"/>
      <c r="G30" s="22">
        <f>SUM(G3:G29)</f>
        <v>0</v>
      </c>
      <c r="H30" s="8"/>
      <c r="I30" s="22">
        <f>SUM(I3:I29)</f>
        <v>0</v>
      </c>
      <c r="J30" s="8"/>
      <c r="K30" s="22">
        <f>SUM(K3:K29)</f>
        <v>0</v>
      </c>
      <c r="M30" s="28"/>
      <c r="O30" s="28"/>
    </row>
    <row r="31" ht="15.75" customHeight="1">
      <c r="A31" s="7" t="s">
        <v>9</v>
      </c>
      <c r="B31" s="25">
        <f>A30+C30+E30+G30+I30+K30</f>
        <v>3315.1172</v>
      </c>
    </row>
    <row r="32" ht="15.75" customHeight="1">
      <c r="A32" s="34">
        <f>(A30-2914.42)</f>
        <v>400.6972</v>
      </c>
      <c r="B32" s="34"/>
      <c r="C32" s="34">
        <f>(C30-0)</f>
        <v>0</v>
      </c>
      <c r="D32" s="34"/>
      <c r="E32" s="34">
        <f>(E30-0)</f>
        <v>0</v>
      </c>
      <c r="F32" s="34"/>
      <c r="G32" s="34">
        <f>(G30-0)</f>
        <v>0</v>
      </c>
      <c r="H32" s="34"/>
      <c r="I32" s="34">
        <f>(I30-0)</f>
        <v>0</v>
      </c>
      <c r="J32" s="34"/>
      <c r="K32" s="34">
        <f>(K30-0)</f>
        <v>0</v>
      </c>
    </row>
    <row r="33" ht="15.75" customHeight="1"/>
    <row r="34" ht="15.75" customHeight="1">
      <c r="C34" s="35" t="s">
        <v>7</v>
      </c>
      <c r="D34" s="29">
        <f>B31</f>
        <v>3315.1172</v>
      </c>
      <c r="E34" s="29">
        <v>3315.1172</v>
      </c>
    </row>
    <row r="35" ht="15.75" customHeight="1">
      <c r="C35" s="35" t="s">
        <v>8</v>
      </c>
      <c r="D35" s="29">
        <f>A32+C32+E32+G32+I32+K32</f>
        <v>400.6972</v>
      </c>
      <c r="E35" s="29">
        <v>400.69720000000007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B31:K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>
        <v>412.0</v>
      </c>
      <c r="B2" s="5"/>
      <c r="C2" s="43">
        <v>1709.0</v>
      </c>
      <c r="D2" s="7"/>
      <c r="E2" s="7" t="s">
        <v>1</v>
      </c>
      <c r="F2" s="7"/>
      <c r="G2" s="7" t="s">
        <v>1</v>
      </c>
      <c r="H2" s="23"/>
      <c r="I2" s="23" t="s">
        <v>1</v>
      </c>
      <c r="J2" s="23"/>
      <c r="K2" s="23" t="s">
        <v>1</v>
      </c>
      <c r="M2" s="8"/>
      <c r="O2" s="8"/>
    </row>
    <row r="3" ht="15.75" customHeight="1">
      <c r="A3" s="9">
        <f>267.72-(267.72*13%)</f>
        <v>232.9164</v>
      </c>
      <c r="B3" s="10"/>
      <c r="C3" s="11">
        <v>1318.42</v>
      </c>
      <c r="D3" s="8"/>
      <c r="E3" s="12" t="s">
        <v>2</v>
      </c>
      <c r="F3" s="8"/>
      <c r="G3" s="12" t="s">
        <v>2</v>
      </c>
      <c r="H3" s="8"/>
      <c r="I3" s="12" t="s">
        <v>2</v>
      </c>
      <c r="J3" s="8"/>
      <c r="K3" s="12" t="s">
        <v>2</v>
      </c>
      <c r="M3" s="29"/>
      <c r="O3" s="29"/>
    </row>
    <row r="4" ht="15.75" customHeight="1">
      <c r="A4" s="9">
        <f> 2450.37-( 2450.37*13%)</f>
        <v>2131.8219</v>
      </c>
      <c r="B4" s="10"/>
      <c r="C4" s="11">
        <f>(539.79)/3*2</f>
        <v>359.86</v>
      </c>
      <c r="D4" s="8"/>
      <c r="E4" s="12" t="s">
        <v>2</v>
      </c>
      <c r="F4" s="8"/>
      <c r="G4" s="12" t="s">
        <v>2</v>
      </c>
      <c r="H4" s="8"/>
      <c r="I4" s="12" t="s">
        <v>2</v>
      </c>
      <c r="J4" s="8"/>
      <c r="K4" s="12" t="s">
        <v>2</v>
      </c>
      <c r="M4" s="29"/>
      <c r="O4" s="29"/>
    </row>
    <row r="5" ht="15.75" customHeight="1">
      <c r="A5" s="9">
        <f> 230-( 230*13%)</f>
        <v>200.1</v>
      </c>
      <c r="B5" s="10"/>
      <c r="C5" s="16" t="s">
        <v>2</v>
      </c>
      <c r="D5" s="8"/>
      <c r="E5" s="12" t="s">
        <v>2</v>
      </c>
      <c r="F5" s="8"/>
      <c r="G5" s="12" t="s">
        <v>2</v>
      </c>
      <c r="H5" s="8"/>
      <c r="I5" s="12" t="s">
        <v>2</v>
      </c>
      <c r="J5" s="8"/>
      <c r="K5" s="12" t="s">
        <v>2</v>
      </c>
      <c r="M5" s="29"/>
      <c r="O5" s="29"/>
    </row>
    <row r="6" ht="15.75" customHeight="1">
      <c r="A6" s="9">
        <f>  195.5-( 195.5*13%)</f>
        <v>170.085</v>
      </c>
      <c r="B6" s="14"/>
      <c r="C6" s="16" t="s">
        <v>2</v>
      </c>
      <c r="D6" s="8"/>
      <c r="E6" s="12" t="s">
        <v>2</v>
      </c>
      <c r="F6" s="8"/>
      <c r="G6" s="12" t="s">
        <v>2</v>
      </c>
      <c r="H6" s="8"/>
      <c r="I6" s="12" t="s">
        <v>2</v>
      </c>
      <c r="J6" s="8"/>
      <c r="K6" s="12" t="s">
        <v>2</v>
      </c>
      <c r="M6" s="29"/>
      <c r="O6" s="29"/>
    </row>
    <row r="7" ht="15.75" customHeight="1">
      <c r="A7" s="9">
        <f>   172.5-(  172.5*13%)</f>
        <v>150.075</v>
      </c>
      <c r="B7" s="14"/>
      <c r="C7" s="16" t="s">
        <v>2</v>
      </c>
      <c r="D7" s="8"/>
      <c r="E7" s="12" t="s">
        <v>2</v>
      </c>
      <c r="G7" s="12" t="s">
        <v>2</v>
      </c>
      <c r="H7" s="8"/>
      <c r="I7" s="12" t="s">
        <v>2</v>
      </c>
      <c r="J7" s="8"/>
      <c r="K7" s="12" t="s">
        <v>2</v>
      </c>
      <c r="M7" s="29"/>
      <c r="O7" s="29"/>
    </row>
    <row r="8" ht="15.75" customHeight="1">
      <c r="A8" s="11">
        <v>170.11</v>
      </c>
      <c r="B8" s="8"/>
      <c r="C8" s="16" t="s">
        <v>2</v>
      </c>
      <c r="D8" s="8"/>
      <c r="E8" s="12" t="s">
        <v>2</v>
      </c>
      <c r="F8" s="8"/>
      <c r="G8" s="12" t="s">
        <v>2</v>
      </c>
      <c r="H8" s="8"/>
      <c r="I8" s="12" t="s">
        <v>2</v>
      </c>
      <c r="J8" s="8"/>
      <c r="K8" s="12" t="s">
        <v>2</v>
      </c>
      <c r="M8" s="29"/>
      <c r="O8" s="29"/>
    </row>
    <row r="9" ht="15.75" customHeight="1">
      <c r="A9" s="11">
        <v>132.49</v>
      </c>
      <c r="B9" s="10"/>
      <c r="C9" s="16" t="s">
        <v>2</v>
      </c>
      <c r="D9" s="8"/>
      <c r="E9" s="12" t="s">
        <v>2</v>
      </c>
      <c r="F9" s="8"/>
      <c r="G9" s="12" t="s">
        <v>2</v>
      </c>
      <c r="H9" s="8"/>
      <c r="I9" s="12" t="s">
        <v>2</v>
      </c>
      <c r="J9" s="8"/>
      <c r="K9" s="12" t="s">
        <v>2</v>
      </c>
      <c r="M9" s="29"/>
      <c r="O9" s="29"/>
    </row>
    <row r="10" ht="15.75" customHeight="1">
      <c r="A10" s="9">
        <f>423.89-(423.89*13%)</f>
        <v>368.7843</v>
      </c>
      <c r="B10" s="10"/>
      <c r="C10" s="16" t="s">
        <v>2</v>
      </c>
      <c r="D10" s="8"/>
      <c r="E10" s="12" t="s">
        <v>2</v>
      </c>
      <c r="F10" s="8"/>
      <c r="G10" s="12" t="s">
        <v>2</v>
      </c>
      <c r="H10" s="8"/>
      <c r="I10" s="12" t="s">
        <v>2</v>
      </c>
      <c r="J10" s="8"/>
      <c r="K10" s="12" t="s">
        <v>2</v>
      </c>
      <c r="M10" s="29"/>
      <c r="O10" s="29"/>
    </row>
    <row r="11" ht="15.75" customHeight="1">
      <c r="A11" s="9">
        <f>345.81-(345.81*13%)</f>
        <v>300.8547</v>
      </c>
      <c r="B11" s="10"/>
      <c r="C11" s="16" t="s">
        <v>2</v>
      </c>
      <c r="D11" s="8"/>
      <c r="E11" s="12" t="s">
        <v>2</v>
      </c>
      <c r="F11" s="8"/>
      <c r="G11" s="12" t="s">
        <v>2</v>
      </c>
      <c r="H11" s="8"/>
      <c r="I11" s="12" t="s">
        <v>2</v>
      </c>
      <c r="J11" s="8"/>
      <c r="K11" s="12" t="s">
        <v>2</v>
      </c>
      <c r="M11" s="29"/>
      <c r="O11" s="29"/>
    </row>
    <row r="12" ht="15.75" customHeight="1">
      <c r="A12" s="11">
        <v>179.93</v>
      </c>
      <c r="B12" s="10"/>
      <c r="C12" s="16" t="s">
        <v>2</v>
      </c>
      <c r="D12" s="8"/>
      <c r="E12" s="12" t="s">
        <v>2</v>
      </c>
      <c r="F12" s="8"/>
      <c r="G12" s="12" t="s">
        <v>2</v>
      </c>
      <c r="H12" s="8"/>
      <c r="I12" s="12" t="s">
        <v>2</v>
      </c>
      <c r="J12" s="8"/>
      <c r="K12" s="12" t="s">
        <v>2</v>
      </c>
      <c r="M12" s="29"/>
      <c r="O12" s="29"/>
    </row>
    <row r="13" ht="15.75" customHeight="1">
      <c r="A13" s="16" t="s">
        <v>2</v>
      </c>
      <c r="B13" s="8"/>
      <c r="C13" s="16" t="s">
        <v>2</v>
      </c>
      <c r="D13" s="8"/>
      <c r="E13" s="12" t="s">
        <v>2</v>
      </c>
      <c r="F13" s="8"/>
      <c r="G13" s="12" t="s">
        <v>2</v>
      </c>
      <c r="H13" s="8"/>
      <c r="I13" s="12" t="s">
        <v>2</v>
      </c>
      <c r="J13" s="8"/>
      <c r="K13" s="12" t="s">
        <v>2</v>
      </c>
      <c r="M13" s="29"/>
      <c r="O13" s="29"/>
    </row>
    <row r="14" ht="15.75" customHeight="1">
      <c r="A14" s="16" t="s">
        <v>2</v>
      </c>
      <c r="B14" s="10"/>
      <c r="C14" s="16" t="s">
        <v>2</v>
      </c>
      <c r="D14" s="8"/>
      <c r="E14" s="12" t="s">
        <v>2</v>
      </c>
      <c r="F14" s="8"/>
      <c r="G14" s="12" t="s">
        <v>2</v>
      </c>
      <c r="H14" s="8"/>
      <c r="I14" s="12" t="s">
        <v>2</v>
      </c>
      <c r="J14" s="8"/>
      <c r="K14" s="12" t="s">
        <v>2</v>
      </c>
      <c r="M14" s="29"/>
      <c r="O14" s="29"/>
    </row>
    <row r="15" ht="15.75" customHeight="1">
      <c r="A15" s="16" t="s">
        <v>2</v>
      </c>
      <c r="B15" s="10"/>
      <c r="C15" s="16" t="s">
        <v>2</v>
      </c>
      <c r="D15" s="8"/>
      <c r="E15" s="12" t="s">
        <v>2</v>
      </c>
      <c r="F15" s="8"/>
      <c r="G15" s="12" t="s">
        <v>2</v>
      </c>
      <c r="H15" s="8"/>
      <c r="I15" s="12" t="s">
        <v>2</v>
      </c>
      <c r="J15" s="8"/>
      <c r="K15" s="12" t="s">
        <v>2</v>
      </c>
      <c r="M15" s="29"/>
      <c r="O15" s="29"/>
    </row>
    <row r="16" ht="15.75" customHeight="1">
      <c r="A16" s="16" t="s">
        <v>2</v>
      </c>
      <c r="B16" s="10"/>
      <c r="C16" s="16" t="s">
        <v>2</v>
      </c>
      <c r="D16" s="8"/>
      <c r="E16" s="12" t="s">
        <v>2</v>
      </c>
      <c r="F16" s="8"/>
      <c r="G16" s="12" t="s">
        <v>2</v>
      </c>
      <c r="H16" s="8"/>
      <c r="I16" s="12" t="s">
        <v>2</v>
      </c>
      <c r="J16" s="8"/>
      <c r="K16" s="12" t="s">
        <v>2</v>
      </c>
      <c r="M16" s="29"/>
      <c r="O16" s="29"/>
    </row>
    <row r="17" ht="15.75" customHeight="1">
      <c r="A17" s="16" t="s">
        <v>2</v>
      </c>
      <c r="B17" s="10"/>
      <c r="C17" s="16" t="s">
        <v>2</v>
      </c>
      <c r="D17" s="8"/>
      <c r="E17" s="12" t="s">
        <v>2</v>
      </c>
      <c r="F17" s="8"/>
      <c r="G17" s="12" t="s">
        <v>2</v>
      </c>
      <c r="H17" s="8"/>
      <c r="I17" s="12" t="s">
        <v>2</v>
      </c>
      <c r="J17" s="8"/>
      <c r="K17" s="12" t="s">
        <v>2</v>
      </c>
      <c r="M17" s="29"/>
      <c r="O17" s="29"/>
    </row>
    <row r="18" ht="15.75" customHeight="1">
      <c r="A18" s="16" t="s">
        <v>2</v>
      </c>
      <c r="B18" s="8"/>
      <c r="C18" s="16" t="s">
        <v>2</v>
      </c>
      <c r="D18" s="8"/>
      <c r="E18" s="12" t="s">
        <v>2</v>
      </c>
      <c r="F18" s="8"/>
      <c r="G18" s="12" t="s">
        <v>2</v>
      </c>
      <c r="H18" s="8"/>
      <c r="I18" s="12" t="s">
        <v>2</v>
      </c>
      <c r="J18" s="8"/>
      <c r="K18" s="12" t="s">
        <v>2</v>
      </c>
      <c r="M18" s="29"/>
      <c r="O18" s="29"/>
    </row>
    <row r="19" ht="15.75" customHeight="1">
      <c r="A19" s="16" t="s">
        <v>2</v>
      </c>
      <c r="B19" s="10"/>
      <c r="C19" s="16" t="s">
        <v>2</v>
      </c>
      <c r="D19" s="8"/>
      <c r="E19" s="12" t="s">
        <v>2</v>
      </c>
      <c r="F19" s="8"/>
      <c r="G19" s="12" t="s">
        <v>2</v>
      </c>
      <c r="H19" s="8"/>
      <c r="I19" s="12" t="s">
        <v>2</v>
      </c>
      <c r="J19" s="8"/>
      <c r="K19" s="12" t="s">
        <v>2</v>
      </c>
      <c r="M19" s="29"/>
      <c r="O19" s="29"/>
    </row>
    <row r="20" ht="15.75" customHeight="1">
      <c r="A20" s="16" t="s">
        <v>2</v>
      </c>
      <c r="B20" s="10"/>
      <c r="C20" s="16" t="s">
        <v>2</v>
      </c>
      <c r="D20" s="8"/>
      <c r="E20" s="12" t="s">
        <v>2</v>
      </c>
      <c r="F20" s="8"/>
      <c r="G20" s="12" t="s">
        <v>2</v>
      </c>
      <c r="H20" s="8"/>
      <c r="I20" s="12" t="s">
        <v>2</v>
      </c>
      <c r="J20" s="8"/>
      <c r="K20" s="12" t="s">
        <v>2</v>
      </c>
      <c r="L20" s="19"/>
      <c r="M20" s="20" t="s">
        <v>3</v>
      </c>
      <c r="O20" s="29"/>
    </row>
    <row r="21" ht="15.75" customHeight="1">
      <c r="A21" s="16" t="s">
        <v>2</v>
      </c>
      <c r="B21" s="10"/>
      <c r="C21" s="16" t="s">
        <v>2</v>
      </c>
      <c r="D21" s="8"/>
      <c r="E21" s="12" t="s">
        <v>2</v>
      </c>
      <c r="F21" s="8"/>
      <c r="G21" s="12" t="s">
        <v>2</v>
      </c>
      <c r="H21" s="8"/>
      <c r="I21" s="12" t="s">
        <v>2</v>
      </c>
      <c r="J21" s="8"/>
      <c r="K21" s="12" t="s">
        <v>2</v>
      </c>
      <c r="L21" s="21"/>
      <c r="M21" s="20" t="s">
        <v>4</v>
      </c>
      <c r="O21" s="29"/>
    </row>
    <row r="22" ht="15.75" customHeight="1">
      <c r="A22" s="16" t="s">
        <v>2</v>
      </c>
      <c r="B22" s="8"/>
      <c r="C22" s="16" t="s">
        <v>2</v>
      </c>
      <c r="D22" s="8"/>
      <c r="E22" s="12" t="s">
        <v>2</v>
      </c>
      <c r="F22" s="8"/>
      <c r="G22" s="12" t="s">
        <v>2</v>
      </c>
      <c r="H22" s="8"/>
      <c r="I22" s="12" t="s">
        <v>2</v>
      </c>
      <c r="J22" s="8"/>
      <c r="K22" s="12" t="s">
        <v>2</v>
      </c>
      <c r="L22" s="24"/>
      <c r="M22" s="20" t="s">
        <v>5</v>
      </c>
      <c r="O22" s="29"/>
    </row>
    <row r="23" ht="15.75" customHeight="1">
      <c r="A23" s="16" t="s">
        <v>2</v>
      </c>
      <c r="B23" s="8"/>
      <c r="C23" s="16" t="s">
        <v>2</v>
      </c>
      <c r="D23" s="8"/>
      <c r="E23" s="12" t="s">
        <v>2</v>
      </c>
      <c r="F23" s="8"/>
      <c r="G23" s="12" t="s">
        <v>2</v>
      </c>
      <c r="H23" s="8"/>
      <c r="I23" s="12" t="s">
        <v>2</v>
      </c>
      <c r="J23" s="8"/>
      <c r="K23" s="12" t="s">
        <v>2</v>
      </c>
      <c r="M23" s="29"/>
      <c r="O23" s="29"/>
    </row>
    <row r="24" ht="15.75" customHeight="1">
      <c r="A24" s="16" t="s">
        <v>2</v>
      </c>
      <c r="B24" s="8"/>
      <c r="C24" s="16" t="s">
        <v>2</v>
      </c>
      <c r="D24" s="8"/>
      <c r="E24" s="12" t="s">
        <v>2</v>
      </c>
      <c r="F24" s="8"/>
      <c r="G24" s="12" t="s">
        <v>2</v>
      </c>
      <c r="H24" s="8"/>
      <c r="I24" s="12" t="s">
        <v>2</v>
      </c>
      <c r="J24" s="8"/>
      <c r="K24" s="12" t="s">
        <v>2</v>
      </c>
      <c r="M24" s="29"/>
      <c r="O24" s="29"/>
    </row>
    <row r="25" ht="15.75" customHeight="1">
      <c r="A25" s="16" t="s">
        <v>2</v>
      </c>
      <c r="B25" s="8"/>
      <c r="C25" s="16" t="s">
        <v>2</v>
      </c>
      <c r="D25" s="8"/>
      <c r="E25" s="12" t="s">
        <v>2</v>
      </c>
      <c r="F25" s="8"/>
      <c r="G25" s="12" t="s">
        <v>2</v>
      </c>
      <c r="H25" s="8"/>
      <c r="I25" s="12" t="s">
        <v>2</v>
      </c>
      <c r="J25" s="8"/>
      <c r="K25" s="12" t="s">
        <v>2</v>
      </c>
      <c r="M25" s="29"/>
      <c r="O25" s="29"/>
    </row>
    <row r="26" ht="15.75" customHeight="1">
      <c r="A26" s="16" t="s">
        <v>2</v>
      </c>
      <c r="B26" s="8"/>
      <c r="C26" s="16" t="s">
        <v>2</v>
      </c>
      <c r="D26" s="8"/>
      <c r="E26" s="12" t="s">
        <v>2</v>
      </c>
      <c r="F26" s="8"/>
      <c r="G26" s="12" t="s">
        <v>2</v>
      </c>
      <c r="H26" s="8"/>
      <c r="I26" s="12" t="s">
        <v>2</v>
      </c>
      <c r="J26" s="8"/>
      <c r="K26" s="12" t="s">
        <v>2</v>
      </c>
      <c r="M26" s="29"/>
      <c r="O26" s="29"/>
    </row>
    <row r="27" ht="15.75" customHeight="1">
      <c r="A27" s="16" t="s">
        <v>2</v>
      </c>
      <c r="B27" s="8"/>
      <c r="C27" s="16" t="s">
        <v>2</v>
      </c>
      <c r="D27" s="8"/>
      <c r="E27" s="12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M27" s="29"/>
      <c r="O27" s="29"/>
    </row>
    <row r="28" ht="15.75" customHeight="1">
      <c r="A28" s="16" t="s">
        <v>2</v>
      </c>
      <c r="B28" s="8"/>
      <c r="C28" s="16" t="s">
        <v>2</v>
      </c>
      <c r="D28" s="8"/>
      <c r="E28" s="12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M28" s="29"/>
      <c r="O28" s="29"/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M29" s="29"/>
      <c r="O29" s="29"/>
    </row>
    <row r="30" ht="15.75" customHeight="1">
      <c r="A30" s="22">
        <f>SUM(A3:A29)</f>
        <v>4037.1673</v>
      </c>
      <c r="B30" s="8"/>
      <c r="C30" s="22">
        <f>SUM(C3:C29)</f>
        <v>1678.28</v>
      </c>
      <c r="D30" s="23"/>
      <c r="E30" s="22">
        <f>SUM(E3:E29)</f>
        <v>0</v>
      </c>
      <c r="F30" s="22"/>
      <c r="G30" s="22">
        <f>SUM(G3:G29)</f>
        <v>0</v>
      </c>
      <c r="H30" s="8"/>
      <c r="I30" s="22">
        <f>SUM(I3:I29)</f>
        <v>0</v>
      </c>
      <c r="J30" s="8"/>
      <c r="K30" s="22">
        <f>SUM(K3:K29)</f>
        <v>0</v>
      </c>
      <c r="M30" s="28"/>
      <c r="O30" s="28"/>
    </row>
    <row r="31" ht="15.75" customHeight="1">
      <c r="A31" s="7" t="s">
        <v>9</v>
      </c>
      <c r="B31" s="25">
        <f>A30+C30+E30+G30+I30+K30</f>
        <v>5715.4473</v>
      </c>
    </row>
    <row r="32" ht="15.75" customHeight="1">
      <c r="A32" s="34">
        <f>(A30-4114.42)</f>
        <v>-77.2527</v>
      </c>
      <c r="B32" s="34"/>
      <c r="C32" s="34">
        <f>(C30-4414.42)</f>
        <v>-2736.14</v>
      </c>
      <c r="D32" s="34"/>
      <c r="E32" s="34">
        <f>(E30-0)</f>
        <v>0</v>
      </c>
      <c r="F32" s="34"/>
      <c r="G32" s="34">
        <f>(G30-0)</f>
        <v>0</v>
      </c>
      <c r="H32" s="34"/>
      <c r="I32" s="34">
        <f>(I30-0)</f>
        <v>0</v>
      </c>
      <c r="J32" s="34"/>
      <c r="K32" s="34">
        <f>(K30-0)</f>
        <v>0</v>
      </c>
    </row>
    <row r="33" ht="15.75" customHeight="1"/>
    <row r="34" ht="15.75" customHeight="1"/>
    <row r="35" ht="15.75" customHeight="1">
      <c r="C35" s="35" t="s">
        <v>7</v>
      </c>
      <c r="D35" s="29">
        <f>B31</f>
        <v>5715.4473</v>
      </c>
      <c r="E35" s="29">
        <v>5715.447299999999</v>
      </c>
    </row>
    <row r="36" ht="15.75" customHeight="1">
      <c r="C36" s="35" t="s">
        <v>8</v>
      </c>
      <c r="D36" s="29">
        <f>A32+C32+E32+G32+I32+K32</f>
        <v>-2813.3927</v>
      </c>
      <c r="E36" s="29">
        <v>-2813.3927000000012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B31:K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6" width="12.63"/>
    <col customWidth="1" min="8" max="8" width="17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 t="s">
        <v>10</v>
      </c>
      <c r="B2" s="5"/>
      <c r="C2" s="7" t="s">
        <v>1</v>
      </c>
      <c r="D2" s="7"/>
      <c r="E2" s="25" t="s">
        <v>1</v>
      </c>
      <c r="F2" s="7"/>
      <c r="G2" s="7" t="s">
        <v>1</v>
      </c>
      <c r="H2" s="7"/>
      <c r="I2" s="7" t="s">
        <v>1</v>
      </c>
      <c r="J2" s="23"/>
      <c r="K2" s="23" t="s">
        <v>1</v>
      </c>
      <c r="M2" s="8"/>
      <c r="O2" s="8"/>
    </row>
    <row r="3" ht="15.75" customHeight="1">
      <c r="A3" s="9">
        <f>(487.29)/2*1</f>
        <v>243.645</v>
      </c>
      <c r="B3" s="31"/>
      <c r="C3" s="16" t="s">
        <v>2</v>
      </c>
      <c r="D3" s="32"/>
      <c r="E3" s="45" t="s">
        <v>2</v>
      </c>
      <c r="F3" s="8"/>
      <c r="G3" s="45" t="s">
        <v>2</v>
      </c>
      <c r="H3" s="8"/>
      <c r="I3" s="12" t="s">
        <v>2</v>
      </c>
      <c r="J3" s="8"/>
      <c r="K3" s="12" t="s">
        <v>2</v>
      </c>
      <c r="M3" s="29"/>
      <c r="O3" s="29"/>
    </row>
    <row r="4" ht="15.75" customHeight="1">
      <c r="A4" s="9">
        <f>217.35-(217.35*16%)</f>
        <v>182.574</v>
      </c>
      <c r="B4" s="10"/>
      <c r="C4" s="16" t="s">
        <v>2</v>
      </c>
      <c r="D4" s="8"/>
      <c r="E4" s="45" t="s">
        <v>2</v>
      </c>
      <c r="F4" s="8"/>
      <c r="G4" s="45" t="s">
        <v>2</v>
      </c>
      <c r="H4" s="8"/>
      <c r="I4" s="12" t="s">
        <v>2</v>
      </c>
      <c r="J4" s="8"/>
      <c r="K4" s="12" t="s">
        <v>2</v>
      </c>
      <c r="M4" s="29"/>
      <c r="O4" s="29"/>
    </row>
    <row r="5" ht="15.75" customHeight="1">
      <c r="A5" s="9">
        <f>794.8-(794.8*16%)</f>
        <v>667.632</v>
      </c>
      <c r="B5" s="10"/>
      <c r="C5" s="16" t="s">
        <v>2</v>
      </c>
      <c r="D5" s="8"/>
      <c r="E5" s="45" t="s">
        <v>2</v>
      </c>
      <c r="F5" s="8"/>
      <c r="G5" s="45" t="s">
        <v>2</v>
      </c>
      <c r="H5" s="8"/>
      <c r="I5" s="12" t="s">
        <v>2</v>
      </c>
      <c r="J5" s="8"/>
      <c r="K5" s="12" t="s">
        <v>2</v>
      </c>
      <c r="M5" s="29"/>
      <c r="O5" s="29"/>
    </row>
    <row r="6" ht="15.75" customHeight="1">
      <c r="A6" s="9">
        <f> 474-( 474*16%)</f>
        <v>398.16</v>
      </c>
      <c r="B6" s="14"/>
      <c r="C6" s="16" t="s">
        <v>2</v>
      </c>
      <c r="D6" s="8"/>
      <c r="E6" s="45" t="s">
        <v>2</v>
      </c>
      <c r="F6" s="8"/>
      <c r="G6" s="45" t="s">
        <v>2</v>
      </c>
      <c r="H6" s="8"/>
      <c r="I6" s="12" t="s">
        <v>2</v>
      </c>
      <c r="J6" s="8"/>
      <c r="K6" s="12" t="s">
        <v>2</v>
      </c>
      <c r="M6" s="29"/>
      <c r="O6" s="29"/>
    </row>
    <row r="7" ht="15.75" customHeight="1">
      <c r="A7" s="9">
        <f> 172.5-( 172.5*16%)</f>
        <v>144.9</v>
      </c>
      <c r="B7" s="14"/>
      <c r="C7" s="16" t="s">
        <v>2</v>
      </c>
      <c r="D7" s="8"/>
      <c r="E7" s="45" t="s">
        <v>2</v>
      </c>
      <c r="F7" s="8"/>
      <c r="G7" s="45" t="s">
        <v>2</v>
      </c>
      <c r="H7" s="8"/>
      <c r="I7" s="12" t="s">
        <v>2</v>
      </c>
      <c r="J7" s="8"/>
      <c r="K7" s="12" t="s">
        <v>2</v>
      </c>
      <c r="M7" s="29"/>
      <c r="O7" s="29"/>
    </row>
    <row r="8" ht="15.75" customHeight="1">
      <c r="A8" s="9">
        <f> 218.5-( 218.5*16%)</f>
        <v>183.54</v>
      </c>
      <c r="B8" s="8"/>
      <c r="C8" s="16" t="s">
        <v>2</v>
      </c>
      <c r="D8" s="8"/>
      <c r="E8" s="45" t="s">
        <v>2</v>
      </c>
      <c r="F8" s="8"/>
      <c r="G8" s="45" t="s">
        <v>2</v>
      </c>
      <c r="H8" s="8"/>
      <c r="I8" s="12" t="s">
        <v>2</v>
      </c>
      <c r="J8" s="8"/>
      <c r="K8" s="12" t="s">
        <v>2</v>
      </c>
      <c r="M8" s="29"/>
      <c r="O8" s="29"/>
    </row>
    <row r="9" ht="15.75" customHeight="1">
      <c r="A9" s="9">
        <f> 172.5-( 172.5*16%)</f>
        <v>144.9</v>
      </c>
      <c r="B9" s="10"/>
      <c r="C9" s="16" t="s">
        <v>2</v>
      </c>
      <c r="D9" s="8"/>
      <c r="E9" s="12" t="s">
        <v>2</v>
      </c>
      <c r="F9" s="8"/>
      <c r="G9" s="45" t="s">
        <v>2</v>
      </c>
      <c r="H9" s="13"/>
      <c r="I9" s="12" t="s">
        <v>2</v>
      </c>
      <c r="J9" s="8"/>
      <c r="K9" s="12" t="s">
        <v>2</v>
      </c>
      <c r="M9" s="29"/>
      <c r="O9" s="29"/>
    </row>
    <row r="10" ht="15.75" customHeight="1">
      <c r="A10" s="11">
        <v>151.3</v>
      </c>
      <c r="B10" s="10"/>
      <c r="C10" s="16" t="s">
        <v>2</v>
      </c>
      <c r="D10" s="8"/>
      <c r="E10" s="12" t="s">
        <v>2</v>
      </c>
      <c r="F10" s="8"/>
      <c r="G10" s="45" t="s">
        <v>2</v>
      </c>
      <c r="H10" s="8"/>
      <c r="I10" s="12" t="s">
        <v>2</v>
      </c>
      <c r="J10" s="8"/>
      <c r="K10" s="12" t="s">
        <v>2</v>
      </c>
      <c r="M10" s="29"/>
      <c r="O10" s="29"/>
    </row>
    <row r="11" ht="15.75" customHeight="1">
      <c r="A11" s="9">
        <f>404.23-(404.23*16%)</f>
        <v>339.5532</v>
      </c>
      <c r="B11" s="10"/>
      <c r="C11" s="16" t="s">
        <v>2</v>
      </c>
      <c r="D11" s="8"/>
      <c r="E11" s="12" t="s">
        <v>2</v>
      </c>
      <c r="F11" s="8"/>
      <c r="G11" s="45" t="s">
        <v>2</v>
      </c>
      <c r="H11" s="8"/>
      <c r="I11" s="12" t="s">
        <v>2</v>
      </c>
      <c r="J11" s="8"/>
      <c r="K11" s="12" t="s">
        <v>2</v>
      </c>
      <c r="M11" s="29"/>
      <c r="O11" s="29"/>
    </row>
    <row r="12" ht="15.75" customHeight="1">
      <c r="A12" s="11">
        <v>132.49</v>
      </c>
      <c r="B12" s="10"/>
      <c r="C12" s="16" t="s">
        <v>2</v>
      </c>
      <c r="D12" s="8"/>
      <c r="E12" s="12" t="s">
        <v>2</v>
      </c>
      <c r="F12" s="8"/>
      <c r="G12" s="45" t="s">
        <v>2</v>
      </c>
      <c r="H12" s="8"/>
      <c r="I12" s="12" t="s">
        <v>2</v>
      </c>
      <c r="J12" s="8"/>
      <c r="K12" s="12" t="s">
        <v>2</v>
      </c>
      <c r="M12" s="29"/>
      <c r="O12" s="29"/>
    </row>
    <row r="13" ht="15.75" customHeight="1">
      <c r="A13" s="9">
        <f>161-(161*16%)</f>
        <v>135.24</v>
      </c>
      <c r="B13" s="8"/>
      <c r="C13" s="16" t="s">
        <v>2</v>
      </c>
      <c r="D13" s="8"/>
      <c r="E13" s="12" t="s">
        <v>2</v>
      </c>
      <c r="F13" s="8"/>
      <c r="G13" s="45" t="s">
        <v>2</v>
      </c>
      <c r="H13" s="8"/>
      <c r="I13" s="12" t="s">
        <v>2</v>
      </c>
      <c r="J13" s="8"/>
      <c r="K13" s="12" t="s">
        <v>2</v>
      </c>
      <c r="M13" s="29"/>
      <c r="O13" s="29"/>
    </row>
    <row r="14" ht="15.75" customHeight="1">
      <c r="A14" s="9">
        <f>381.29-(381.29*16%)</f>
        <v>320.2836</v>
      </c>
      <c r="B14" s="10"/>
      <c r="C14" s="16" t="s">
        <v>2</v>
      </c>
      <c r="D14" s="8"/>
      <c r="E14" s="12" t="s">
        <v>2</v>
      </c>
      <c r="F14" s="8"/>
      <c r="G14" s="45" t="s">
        <v>2</v>
      </c>
      <c r="H14" s="8"/>
      <c r="I14" s="12" t="s">
        <v>2</v>
      </c>
      <c r="J14" s="8"/>
      <c r="K14" s="12" t="s">
        <v>2</v>
      </c>
      <c r="M14" s="29"/>
      <c r="O14" s="29"/>
    </row>
    <row r="15" ht="15.75" customHeight="1">
      <c r="A15" s="9">
        <f>360.53-(360.53*16%)</f>
        <v>302.8452</v>
      </c>
      <c r="B15" s="10"/>
      <c r="C15" s="16" t="s">
        <v>2</v>
      </c>
      <c r="D15" s="8"/>
      <c r="E15" s="12" t="s">
        <v>2</v>
      </c>
      <c r="F15" s="8"/>
      <c r="G15" s="45" t="s">
        <v>2</v>
      </c>
      <c r="H15" s="8"/>
      <c r="I15" s="12" t="s">
        <v>2</v>
      </c>
      <c r="J15" s="8"/>
      <c r="K15" s="12" t="s">
        <v>2</v>
      </c>
      <c r="M15" s="29"/>
      <c r="O15" s="29"/>
    </row>
    <row r="16" ht="15.75" customHeight="1">
      <c r="A16" s="9">
        <f>677.35-(677.35*16%)</f>
        <v>568.974</v>
      </c>
      <c r="B16" s="10"/>
      <c r="C16" s="16" t="s">
        <v>2</v>
      </c>
      <c r="D16" s="8"/>
      <c r="E16" s="12" t="s">
        <v>2</v>
      </c>
      <c r="F16" s="8"/>
      <c r="G16" s="45" t="s">
        <v>2</v>
      </c>
      <c r="H16" s="10"/>
      <c r="I16" s="12" t="s">
        <v>2</v>
      </c>
      <c r="J16" s="8"/>
      <c r="K16" s="12" t="s">
        <v>2</v>
      </c>
      <c r="M16" s="29"/>
      <c r="O16" s="29"/>
    </row>
    <row r="17" ht="15.75" customHeight="1">
      <c r="A17" s="9">
        <f>356.5-(356.5*16%)</f>
        <v>299.46</v>
      </c>
      <c r="B17" s="10"/>
      <c r="C17" s="16" t="s">
        <v>2</v>
      </c>
      <c r="D17" s="8"/>
      <c r="E17" s="12" t="s">
        <v>2</v>
      </c>
      <c r="F17" s="8"/>
      <c r="G17" s="45" t="s">
        <v>2</v>
      </c>
      <c r="H17" s="8"/>
      <c r="I17" s="12" t="s">
        <v>2</v>
      </c>
      <c r="J17" s="8"/>
      <c r="K17" s="12" t="s">
        <v>2</v>
      </c>
      <c r="M17" s="29"/>
      <c r="O17" s="29"/>
    </row>
    <row r="18" ht="15.75" customHeight="1">
      <c r="A18" s="9">
        <f> 276-( 276*16%)</f>
        <v>231.84</v>
      </c>
      <c r="B18" s="8"/>
      <c r="C18" s="16" t="s">
        <v>2</v>
      </c>
      <c r="D18" s="8"/>
      <c r="E18" s="12" t="s">
        <v>2</v>
      </c>
      <c r="F18" s="8"/>
      <c r="G18" s="45" t="s">
        <v>2</v>
      </c>
      <c r="H18" s="8"/>
      <c r="I18" s="12" t="s">
        <v>2</v>
      </c>
      <c r="J18" s="8"/>
      <c r="K18" s="12" t="s">
        <v>2</v>
      </c>
      <c r="M18" s="29"/>
      <c r="O18" s="29"/>
    </row>
    <row r="19" ht="15.75" customHeight="1">
      <c r="A19" s="9">
        <f> 237-( 237*16%)</f>
        <v>199.08</v>
      </c>
      <c r="B19" s="10"/>
      <c r="C19" s="16" t="s">
        <v>2</v>
      </c>
      <c r="D19" s="8"/>
      <c r="E19" s="12" t="s">
        <v>2</v>
      </c>
      <c r="F19" s="8"/>
      <c r="G19" s="45" t="s">
        <v>2</v>
      </c>
      <c r="H19" s="8"/>
      <c r="I19" s="12" t="s">
        <v>2</v>
      </c>
      <c r="J19" s="8"/>
      <c r="K19" s="12" t="s">
        <v>2</v>
      </c>
      <c r="M19" s="29"/>
      <c r="O19" s="29"/>
    </row>
    <row r="20" ht="15.75" customHeight="1">
      <c r="A20" s="30">
        <f>  270-( 270*10%)</f>
        <v>243</v>
      </c>
      <c r="B20" s="10"/>
      <c r="C20" s="16" t="s">
        <v>2</v>
      </c>
      <c r="D20" s="8"/>
      <c r="E20" s="12" t="s">
        <v>2</v>
      </c>
      <c r="F20" s="8"/>
      <c r="G20" s="45" t="s">
        <v>2</v>
      </c>
      <c r="H20" s="8"/>
      <c r="I20" s="12" t="s">
        <v>2</v>
      </c>
      <c r="J20" s="8"/>
      <c r="K20" s="12" t="s">
        <v>2</v>
      </c>
      <c r="L20" s="19"/>
      <c r="M20" s="20" t="s">
        <v>3</v>
      </c>
      <c r="O20" s="29"/>
    </row>
    <row r="21" ht="15.75" customHeight="1">
      <c r="A21" s="16" t="s">
        <v>2</v>
      </c>
      <c r="B21" s="10"/>
      <c r="C21" s="16" t="s">
        <v>2</v>
      </c>
      <c r="D21" s="8"/>
      <c r="E21" s="12" t="s">
        <v>2</v>
      </c>
      <c r="F21" s="8"/>
      <c r="G21" s="12" t="s">
        <v>2</v>
      </c>
      <c r="H21" s="8"/>
      <c r="I21" s="12" t="s">
        <v>2</v>
      </c>
      <c r="J21" s="8"/>
      <c r="K21" s="12" t="s">
        <v>2</v>
      </c>
      <c r="L21" s="21"/>
      <c r="M21" s="20" t="s">
        <v>4</v>
      </c>
      <c r="O21" s="29"/>
    </row>
    <row r="22" ht="15.75" customHeight="1">
      <c r="A22" s="16" t="s">
        <v>2</v>
      </c>
      <c r="B22" s="8"/>
      <c r="C22" s="16" t="s">
        <v>2</v>
      </c>
      <c r="D22" s="8"/>
      <c r="E22" s="12" t="s">
        <v>2</v>
      </c>
      <c r="F22" s="8"/>
      <c r="G22" s="12" t="s">
        <v>2</v>
      </c>
      <c r="H22" s="8"/>
      <c r="I22" s="12" t="s">
        <v>2</v>
      </c>
      <c r="J22" s="8"/>
      <c r="K22" s="12" t="s">
        <v>2</v>
      </c>
      <c r="L22" s="24"/>
      <c r="M22" s="20" t="s">
        <v>5</v>
      </c>
      <c r="O22" s="29"/>
    </row>
    <row r="23" ht="15.75" customHeight="1">
      <c r="A23" s="16" t="s">
        <v>2</v>
      </c>
      <c r="B23" s="8"/>
      <c r="C23" s="16" t="s">
        <v>2</v>
      </c>
      <c r="D23" s="8"/>
      <c r="E23" s="12" t="s">
        <v>2</v>
      </c>
      <c r="F23" s="8"/>
      <c r="G23" s="12" t="s">
        <v>2</v>
      </c>
      <c r="H23" s="8"/>
      <c r="I23" s="12" t="s">
        <v>2</v>
      </c>
      <c r="J23" s="8"/>
      <c r="K23" s="12" t="s">
        <v>2</v>
      </c>
      <c r="M23" s="29"/>
      <c r="O23" s="29"/>
    </row>
    <row r="24" ht="15.75" customHeight="1">
      <c r="A24" s="16" t="s">
        <v>2</v>
      </c>
      <c r="B24" s="8"/>
      <c r="C24" s="16" t="s">
        <v>2</v>
      </c>
      <c r="D24" s="8"/>
      <c r="E24" s="12" t="s">
        <v>2</v>
      </c>
      <c r="F24" s="8"/>
      <c r="G24" s="12" t="s">
        <v>2</v>
      </c>
      <c r="H24" s="8"/>
      <c r="I24" s="12" t="s">
        <v>2</v>
      </c>
      <c r="J24" s="8"/>
      <c r="K24" s="12" t="s">
        <v>2</v>
      </c>
      <c r="M24" s="29"/>
      <c r="O24" s="29"/>
    </row>
    <row r="25" ht="15.75" customHeight="1">
      <c r="A25" s="16" t="s">
        <v>2</v>
      </c>
      <c r="B25" s="8"/>
      <c r="C25" s="16" t="s">
        <v>2</v>
      </c>
      <c r="D25" s="8"/>
      <c r="E25" s="12" t="s">
        <v>2</v>
      </c>
      <c r="F25" s="8"/>
      <c r="G25" s="12" t="s">
        <v>2</v>
      </c>
      <c r="H25" s="8"/>
      <c r="I25" s="12" t="s">
        <v>2</v>
      </c>
      <c r="J25" s="8"/>
      <c r="K25" s="12" t="s">
        <v>2</v>
      </c>
      <c r="M25" s="29"/>
      <c r="O25" s="29"/>
    </row>
    <row r="26" ht="15.75" customHeight="1">
      <c r="A26" s="16" t="s">
        <v>2</v>
      </c>
      <c r="B26" s="8"/>
      <c r="C26" s="16" t="s">
        <v>2</v>
      </c>
      <c r="D26" s="8"/>
      <c r="E26" s="12" t="s">
        <v>2</v>
      </c>
      <c r="F26" s="8"/>
      <c r="G26" s="12" t="s">
        <v>2</v>
      </c>
      <c r="H26" s="8"/>
      <c r="I26" s="12" t="s">
        <v>2</v>
      </c>
      <c r="J26" s="8"/>
      <c r="K26" s="12" t="s">
        <v>2</v>
      </c>
      <c r="M26" s="29"/>
      <c r="O26" s="29"/>
    </row>
    <row r="27" ht="15.75" customHeight="1">
      <c r="A27" s="16" t="s">
        <v>2</v>
      </c>
      <c r="B27" s="8"/>
      <c r="C27" s="16" t="s">
        <v>2</v>
      </c>
      <c r="D27" s="8"/>
      <c r="E27" s="12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M27" s="29"/>
      <c r="O27" s="29"/>
    </row>
    <row r="28" ht="15.75" customHeight="1">
      <c r="A28" s="16" t="s">
        <v>2</v>
      </c>
      <c r="B28" s="8"/>
      <c r="C28" s="16" t="s">
        <v>2</v>
      </c>
      <c r="D28" s="8"/>
      <c r="E28" s="12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M28" s="29"/>
      <c r="O28" s="29"/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M29" s="29"/>
      <c r="O29" s="29"/>
    </row>
    <row r="30" ht="15.75" customHeight="1">
      <c r="A30" s="22">
        <f>SUM(A3:A29)</f>
        <v>4889.417</v>
      </c>
      <c r="B30" s="8"/>
      <c r="C30" s="22">
        <f>SUM(C3:C29)</f>
        <v>0</v>
      </c>
      <c r="D30" s="22"/>
      <c r="E30" s="22">
        <f>SUM(E3:E29)</f>
        <v>0</v>
      </c>
      <c r="F30" s="22"/>
      <c r="G30" s="22">
        <f>SUM(G3:G29)</f>
        <v>0</v>
      </c>
      <c r="H30" s="8"/>
      <c r="I30" s="22">
        <f>SUM(I3:I29)</f>
        <v>0</v>
      </c>
      <c r="J30" s="8"/>
      <c r="K30" s="22">
        <f>SUM(K3:K29)</f>
        <v>0</v>
      </c>
      <c r="M30" s="28"/>
      <c r="O30" s="28"/>
    </row>
    <row r="31" ht="15.75" customHeight="1">
      <c r="A31" s="7" t="s">
        <v>9</v>
      </c>
      <c r="B31" s="25">
        <f>A30+C30+E30+G30+I30+K30</f>
        <v>4889.417</v>
      </c>
    </row>
    <row r="32" ht="15.75" customHeight="1">
      <c r="A32" s="34">
        <f>(A30-3174.81)</f>
        <v>1714.607</v>
      </c>
      <c r="B32" s="34"/>
      <c r="C32" s="34">
        <f>(C30-0)</f>
        <v>0</v>
      </c>
      <c r="D32" s="34"/>
      <c r="E32" s="34">
        <f>(E30-0)</f>
        <v>0</v>
      </c>
      <c r="F32" s="34"/>
      <c r="G32" s="34">
        <f>(G30-0)</f>
        <v>0</v>
      </c>
      <c r="H32" s="34"/>
      <c r="I32" s="34">
        <f>(I30-0)</f>
        <v>0</v>
      </c>
      <c r="J32" s="34"/>
      <c r="K32" s="34">
        <f>(K30-0)</f>
        <v>0</v>
      </c>
    </row>
    <row r="33" ht="15.75" customHeight="1"/>
    <row r="34" ht="15.75" customHeight="1"/>
    <row r="35" ht="15.75" customHeight="1">
      <c r="D35" s="35" t="s">
        <v>7</v>
      </c>
      <c r="E35" s="29">
        <f>B31</f>
        <v>4889.417</v>
      </c>
      <c r="F35" s="29">
        <v>4889.417</v>
      </c>
    </row>
    <row r="36" ht="15.75" customHeight="1">
      <c r="D36" s="35" t="s">
        <v>8</v>
      </c>
      <c r="E36" s="29">
        <f>A32+C32+E32+G32+I32+K32</f>
        <v>1714.607</v>
      </c>
      <c r="F36" s="29">
        <v>1714.6070000000004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B31:K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4" width="15.63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>
        <v>906.0</v>
      </c>
      <c r="B2" s="5"/>
      <c r="C2" s="4">
        <v>1309.0</v>
      </c>
      <c r="D2" s="7"/>
      <c r="E2" s="4">
        <v>1322.0</v>
      </c>
      <c r="F2" s="32"/>
      <c r="G2" s="4">
        <v>1420.0</v>
      </c>
      <c r="H2" s="32"/>
      <c r="I2" s="4">
        <v>1421.0</v>
      </c>
      <c r="J2" s="32"/>
      <c r="K2" s="4">
        <v>1422.0</v>
      </c>
      <c r="L2" s="8"/>
      <c r="M2" s="8"/>
      <c r="N2" s="8"/>
      <c r="O2" s="8"/>
    </row>
    <row r="3" ht="15.75" customHeight="1">
      <c r="A3" s="9">
        <f>379.5-(379.5*16%)</f>
        <v>318.78</v>
      </c>
      <c r="B3" s="10"/>
      <c r="C3" s="11">
        <f>(613.41)/2*1</f>
        <v>306.705</v>
      </c>
      <c r="D3" s="8"/>
      <c r="E3" s="46">
        <f>(587.23)/2*1</f>
        <v>293.615</v>
      </c>
      <c r="F3" s="8"/>
      <c r="G3" s="47">
        <f>(565.12)/2*1</f>
        <v>282.56</v>
      </c>
      <c r="H3" s="32"/>
      <c r="I3" s="47">
        <f>370.53-(370.53*16%)</f>
        <v>311.2452</v>
      </c>
      <c r="J3" s="8"/>
      <c r="K3" s="47">
        <f> 411.62-( 411.62*16%)</f>
        <v>345.7608</v>
      </c>
      <c r="L3" s="8"/>
      <c r="M3" s="13"/>
      <c r="N3" s="8"/>
      <c r="O3" s="13"/>
    </row>
    <row r="4" ht="15.75" customHeight="1">
      <c r="A4" s="9">
        <f>871.16-(871.16*16%)</f>
        <v>731.7744</v>
      </c>
      <c r="B4" s="10"/>
      <c r="C4" s="11">
        <v>197.92</v>
      </c>
      <c r="D4" s="8"/>
      <c r="E4" s="47">
        <f>464.19-(464.19*16%)</f>
        <v>389.9196</v>
      </c>
      <c r="F4" s="8"/>
      <c r="G4" s="47">
        <f>644.74-(644.74*16%)</f>
        <v>541.5816</v>
      </c>
      <c r="H4" s="8"/>
      <c r="I4" s="47">
        <f>210.83-(210.83*16%)</f>
        <v>177.0972</v>
      </c>
      <c r="J4" s="8"/>
      <c r="K4" s="46">
        <v>2286.29</v>
      </c>
      <c r="L4" s="8"/>
      <c r="M4" s="13"/>
      <c r="N4" s="8"/>
      <c r="O4" s="13"/>
    </row>
    <row r="5" ht="15.75" customHeight="1">
      <c r="A5" s="9">
        <f>207-(207*16%)</f>
        <v>173.88</v>
      </c>
      <c r="B5" s="10"/>
      <c r="C5" s="11">
        <v>221.65</v>
      </c>
      <c r="D5" s="8"/>
      <c r="E5" s="46">
        <v>626.49</v>
      </c>
      <c r="F5" s="8"/>
      <c r="G5" s="47">
        <f>300.15-(300.15*16%)</f>
        <v>252.126</v>
      </c>
      <c r="H5" s="8"/>
      <c r="I5" s="46">
        <v>224.1</v>
      </c>
      <c r="J5" s="8"/>
      <c r="K5" s="46">
        <v>156.3</v>
      </c>
      <c r="L5" s="8"/>
      <c r="M5" s="13"/>
      <c r="N5" s="8"/>
      <c r="O5" s="13"/>
    </row>
    <row r="6" ht="15.75" customHeight="1">
      <c r="A6" s="9">
        <f>238.05-(238.05*16%)</f>
        <v>199.962</v>
      </c>
      <c r="B6" s="14"/>
      <c r="C6" s="9">
        <f>527.64-(527.64*16%)</f>
        <v>443.2176</v>
      </c>
      <c r="D6" s="8"/>
      <c r="E6" s="46">
        <v>189.74</v>
      </c>
      <c r="F6" s="8"/>
      <c r="G6" s="47">
        <f>186.3-(186.3*16%)</f>
        <v>156.492</v>
      </c>
      <c r="H6" s="8"/>
      <c r="I6" s="47">
        <f>227.7-(227.7*16%)</f>
        <v>191.268</v>
      </c>
      <c r="J6" s="8"/>
      <c r="K6" s="46">
        <v>179.93</v>
      </c>
      <c r="L6" s="8"/>
      <c r="M6" s="13"/>
      <c r="N6" s="8"/>
      <c r="O6" s="13"/>
    </row>
    <row r="7" ht="15.75" customHeight="1">
      <c r="A7" s="11">
        <v>151.3</v>
      </c>
      <c r="B7" s="14"/>
      <c r="C7" s="9">
        <f>227.7-(227.7*16%)</f>
        <v>191.268</v>
      </c>
      <c r="D7" s="8"/>
      <c r="E7" s="47">
        <f>202.4-(202.4*16%)</f>
        <v>170.016</v>
      </c>
      <c r="F7" s="8"/>
      <c r="G7" s="47">
        <f>220.87-(220.87*16%)</f>
        <v>185.5308</v>
      </c>
      <c r="H7" s="8"/>
      <c r="I7" s="47">
        <f>186.3-(186.3*16%)</f>
        <v>156.492</v>
      </c>
      <c r="J7" s="8"/>
      <c r="K7" s="46">
        <v>198.75</v>
      </c>
      <c r="L7" s="8"/>
      <c r="M7" s="13"/>
      <c r="N7" s="8"/>
      <c r="O7" s="13"/>
    </row>
    <row r="8" ht="15.75" customHeight="1">
      <c r="A8" s="9">
        <f> 481.89-( 481.89*16%)</f>
        <v>404.7876</v>
      </c>
      <c r="B8" s="8"/>
      <c r="C8" s="11">
        <v>194.65</v>
      </c>
      <c r="D8" s="8"/>
      <c r="E8" s="47">
        <f> 271.18-( 271.18*16%)</f>
        <v>227.7912</v>
      </c>
      <c r="F8" s="8"/>
      <c r="G8" s="46">
        <v>838.32</v>
      </c>
      <c r="H8" s="8"/>
      <c r="I8" s="47">
        <f>238.05-(238.05*16%)</f>
        <v>199.962</v>
      </c>
      <c r="J8" s="8"/>
      <c r="K8" s="47">
        <f>215.05-(215.05*16%)</f>
        <v>180.642</v>
      </c>
      <c r="L8" s="8"/>
      <c r="M8" s="13"/>
      <c r="N8" s="8"/>
      <c r="O8" s="13"/>
    </row>
    <row r="9" ht="15.75" customHeight="1">
      <c r="A9" s="9">
        <f> 240.35-( 240.35*16%)</f>
        <v>201.894</v>
      </c>
      <c r="B9" s="10"/>
      <c r="C9" s="11">
        <v>151.3</v>
      </c>
      <c r="D9" s="8"/>
      <c r="E9" s="48">
        <f t="shared" ref="E9:E11" si="1"> 230-( 230*10%)</f>
        <v>207</v>
      </c>
      <c r="F9" s="8"/>
      <c r="G9" s="47">
        <f>372.6-(372.6*16%)</f>
        <v>312.984</v>
      </c>
      <c r="H9" s="8"/>
      <c r="I9" s="47">
        <f> 165.6-( 165.6*16%)</f>
        <v>139.104</v>
      </c>
      <c r="J9" s="8"/>
      <c r="K9" s="46">
        <v>224.1</v>
      </c>
      <c r="L9" s="8"/>
      <c r="M9" s="13"/>
      <c r="N9" s="8"/>
      <c r="O9" s="13"/>
    </row>
    <row r="10" ht="15.75" customHeight="1">
      <c r="A10" s="11">
        <v>138.04</v>
      </c>
      <c r="B10" s="10"/>
      <c r="C10" s="9">
        <f>644.05-(644.05*16%)</f>
        <v>541.002</v>
      </c>
      <c r="D10" s="8"/>
      <c r="E10" s="48">
        <f t="shared" si="1"/>
        <v>207</v>
      </c>
      <c r="F10" s="8"/>
      <c r="G10" s="47">
        <f>180.71-(180.71*16%)</f>
        <v>151.7964</v>
      </c>
      <c r="H10" s="8"/>
      <c r="I10" s="46">
        <v>339.54</v>
      </c>
      <c r="J10" s="8"/>
      <c r="K10" s="46">
        <v>170.11</v>
      </c>
      <c r="L10" s="8"/>
      <c r="M10" s="13"/>
      <c r="N10" s="8"/>
      <c r="O10" s="13"/>
    </row>
    <row r="11" ht="15.75" customHeight="1">
      <c r="A11" s="9">
        <f>684.49-(684.49*16%)</f>
        <v>574.9716</v>
      </c>
      <c r="B11" s="31"/>
      <c r="C11" s="9">
        <f>160.63-(160.63*16%)</f>
        <v>134.9292</v>
      </c>
      <c r="D11" s="8"/>
      <c r="E11" s="48">
        <f t="shared" si="1"/>
        <v>207</v>
      </c>
      <c r="F11" s="8"/>
      <c r="G11" s="47">
        <f> 175.95-( 175.95*16%)</f>
        <v>147.798</v>
      </c>
      <c r="H11" s="8"/>
      <c r="I11" s="48">
        <f>200-(200*10%)</f>
        <v>180</v>
      </c>
      <c r="J11" s="8"/>
      <c r="K11" s="48">
        <f>345.31-(345.31*10%)</f>
        <v>310.779</v>
      </c>
      <c r="L11" s="8"/>
      <c r="M11" s="13"/>
      <c r="N11" s="8"/>
      <c r="O11" s="13"/>
    </row>
    <row r="12" ht="15.75" customHeight="1">
      <c r="A12" s="9">
        <f t="shared" ref="A12:A13" si="2">155.25-(155.25*16%)</f>
        <v>130.41</v>
      </c>
      <c r="B12" s="10"/>
      <c r="C12" s="9">
        <f> 198.75-( 198.75*16%)</f>
        <v>166.95</v>
      </c>
      <c r="D12" s="8"/>
      <c r="E12" s="46">
        <v>189.74</v>
      </c>
      <c r="F12" s="8"/>
      <c r="G12" s="47">
        <f>  196.65-(  196.65*16%)</f>
        <v>165.186</v>
      </c>
      <c r="H12" s="8"/>
      <c r="I12" s="46">
        <v>156.3</v>
      </c>
      <c r="J12" s="8"/>
      <c r="K12" s="46">
        <v>198.78</v>
      </c>
      <c r="L12" s="8"/>
      <c r="M12" s="13"/>
      <c r="N12" s="8"/>
      <c r="O12" s="13"/>
    </row>
    <row r="13" ht="15.75" customHeight="1">
      <c r="A13" s="9">
        <f t="shared" si="2"/>
        <v>130.41</v>
      </c>
      <c r="B13" s="8"/>
      <c r="C13" s="9">
        <f>789.54-(789.54*16%)</f>
        <v>663.2136</v>
      </c>
      <c r="D13" s="32"/>
      <c r="E13" s="47">
        <f>752.29-(752.29*16%)</f>
        <v>631.9236</v>
      </c>
      <c r="F13" s="32"/>
      <c r="G13" s="47">
        <f>  175.29-(  175.29*16%)</f>
        <v>147.2436</v>
      </c>
      <c r="H13" s="8"/>
      <c r="I13" s="46">
        <v>838.32</v>
      </c>
      <c r="J13" s="8"/>
      <c r="K13" s="46">
        <v>151.3</v>
      </c>
      <c r="L13" s="8"/>
      <c r="M13" s="13"/>
      <c r="N13" s="8"/>
      <c r="O13" s="13"/>
    </row>
    <row r="14" ht="15.75" customHeight="1">
      <c r="A14" s="11">
        <v>138.04</v>
      </c>
      <c r="B14" s="10"/>
      <c r="C14" s="11">
        <v>194.65</v>
      </c>
      <c r="D14" s="8"/>
      <c r="E14" s="47">
        <f>227.7-(227.7*16%)</f>
        <v>191.268</v>
      </c>
      <c r="F14" s="8"/>
      <c r="G14" s="47">
        <f>   150.59-(   150.59*16%)</f>
        <v>126.4956</v>
      </c>
      <c r="H14" s="8"/>
      <c r="I14" s="47">
        <f>170.67-(170.67*16%)</f>
        <v>143.3628</v>
      </c>
      <c r="J14" s="8"/>
      <c r="K14" s="46">
        <v>1316.77</v>
      </c>
      <c r="L14" s="8"/>
      <c r="M14" s="13"/>
      <c r="N14" s="8"/>
      <c r="O14" s="13"/>
    </row>
    <row r="15" ht="15.75" customHeight="1">
      <c r="A15" s="9">
        <f> 1425.77-( 1425.77*16%)</f>
        <v>1197.6468</v>
      </c>
      <c r="B15" s="10"/>
      <c r="C15" s="11">
        <v>229.0</v>
      </c>
      <c r="D15" s="8"/>
      <c r="E15" s="47">
        <f>155.25-(155.25*16%)</f>
        <v>130.41</v>
      </c>
      <c r="F15" s="8"/>
      <c r="G15" s="47">
        <f>  1762.48-(   1762.48*16%)</f>
        <v>1480.4832</v>
      </c>
      <c r="H15" s="8"/>
      <c r="I15" s="46">
        <v>146.77</v>
      </c>
      <c r="J15" s="8"/>
      <c r="K15" s="46">
        <f>(723.82)/3*2</f>
        <v>482.5466667</v>
      </c>
      <c r="L15" s="8"/>
      <c r="M15" s="13"/>
      <c r="N15" s="8"/>
      <c r="O15" s="13"/>
    </row>
    <row r="16" ht="15.75" customHeight="1">
      <c r="A16" s="11">
        <v>293.61</v>
      </c>
      <c r="B16" s="10"/>
      <c r="C16" s="11">
        <v>142.31</v>
      </c>
      <c r="D16" s="8"/>
      <c r="E16" s="46">
        <v>204.47</v>
      </c>
      <c r="F16" s="8"/>
      <c r="G16" s="46">
        <v>284.8</v>
      </c>
      <c r="H16" s="8"/>
      <c r="I16" s="47">
        <f>  196.65-(  196.65*16%)</f>
        <v>165.186</v>
      </c>
      <c r="J16" s="8"/>
      <c r="K16" s="12">
        <v>0.0</v>
      </c>
      <c r="L16" s="8"/>
      <c r="M16" s="13"/>
      <c r="N16" s="8"/>
      <c r="O16" s="13"/>
    </row>
    <row r="17" ht="15.75" customHeight="1">
      <c r="A17" s="9">
        <f>467.31-(467.31*16%)</f>
        <v>392.5404</v>
      </c>
      <c r="B17" s="10"/>
      <c r="C17" s="9">
        <f> 327.86-( 327.86*16%)</f>
        <v>275.4024</v>
      </c>
      <c r="D17" s="8"/>
      <c r="E17" s="47">
        <f>304.5-(304.5*16%)</f>
        <v>255.78</v>
      </c>
      <c r="F17" s="8"/>
      <c r="G17" s="46">
        <v>480.24</v>
      </c>
      <c r="H17" s="8"/>
      <c r="I17" s="47">
        <f> 165.6-( 165.6*16%)</f>
        <v>139.104</v>
      </c>
      <c r="J17" s="8"/>
      <c r="K17" s="12">
        <v>0.0</v>
      </c>
      <c r="L17" s="8"/>
      <c r="M17" s="13"/>
      <c r="N17" s="8"/>
      <c r="O17" s="13"/>
    </row>
    <row r="18" ht="15.75" customHeight="1">
      <c r="A18" s="9">
        <f>210.83-(210.83*16%)</f>
        <v>177.0972</v>
      </c>
      <c r="B18" s="8"/>
      <c r="C18" s="11">
        <v>151.3</v>
      </c>
      <c r="D18" s="8"/>
      <c r="E18" s="47">
        <f>156.17-(156.17*16%)</f>
        <v>131.1828</v>
      </c>
      <c r="F18" s="8"/>
      <c r="G18" s="45">
        <v>0.0</v>
      </c>
      <c r="H18" s="8"/>
      <c r="I18" s="47">
        <f>389.53-(389.53*16%)</f>
        <v>327.2052</v>
      </c>
      <c r="J18" s="8"/>
      <c r="K18" s="12">
        <v>0.0</v>
      </c>
      <c r="L18" s="8"/>
      <c r="M18" s="13"/>
      <c r="N18" s="8"/>
      <c r="O18" s="13"/>
    </row>
    <row r="19" ht="15.75" customHeight="1">
      <c r="A19" s="16" t="s">
        <v>2</v>
      </c>
      <c r="B19" s="14"/>
      <c r="C19" s="9">
        <f> 1212.68-( 1212.68*16%)</f>
        <v>1018.6512</v>
      </c>
      <c r="D19" s="8"/>
      <c r="E19" s="47">
        <f> 269.1-( 269.1*16%)</f>
        <v>226.044</v>
      </c>
      <c r="F19" s="8"/>
      <c r="G19" s="45">
        <v>0.0</v>
      </c>
      <c r="H19" s="8"/>
      <c r="I19" s="47">
        <f>684.65-(684.65*16%)</f>
        <v>575.106</v>
      </c>
      <c r="J19" s="8"/>
      <c r="K19" s="12">
        <v>0.0</v>
      </c>
      <c r="L19" s="8"/>
      <c r="M19" s="13"/>
      <c r="N19" s="8"/>
      <c r="O19" s="13"/>
    </row>
    <row r="20" ht="15.75" customHeight="1">
      <c r="A20" s="16" t="s">
        <v>2</v>
      </c>
      <c r="B20" s="10"/>
      <c r="C20" s="11">
        <v>189.74</v>
      </c>
      <c r="D20" s="8"/>
      <c r="E20" s="47">
        <f> 1737.09-( 1737.09*16%)</f>
        <v>1459.1556</v>
      </c>
      <c r="F20" s="8"/>
      <c r="G20" s="45">
        <v>0.0</v>
      </c>
      <c r="H20" s="8"/>
      <c r="I20" s="47">
        <f>  196.65-(  196.65*16%)</f>
        <v>165.186</v>
      </c>
      <c r="J20" s="8"/>
      <c r="K20" s="12">
        <v>0.0</v>
      </c>
      <c r="L20" s="19"/>
      <c r="M20" s="20" t="s">
        <v>3</v>
      </c>
      <c r="N20" s="8"/>
      <c r="O20" s="13"/>
    </row>
    <row r="21" ht="15.75" customHeight="1">
      <c r="A21" s="16" t="s">
        <v>2</v>
      </c>
      <c r="B21" s="10"/>
      <c r="C21" s="11">
        <v>246.99</v>
      </c>
      <c r="D21" s="8"/>
      <c r="E21" s="12">
        <v>0.0</v>
      </c>
      <c r="F21" s="8"/>
      <c r="G21" s="45">
        <v>0.0</v>
      </c>
      <c r="H21" s="8"/>
      <c r="I21" s="46">
        <v>174.2</v>
      </c>
      <c r="J21" s="8"/>
      <c r="K21" s="12">
        <v>0.0</v>
      </c>
      <c r="L21" s="21"/>
      <c r="M21" s="20" t="s">
        <v>4</v>
      </c>
      <c r="N21" s="8"/>
      <c r="O21" s="13"/>
    </row>
    <row r="22" ht="15.75" customHeight="1">
      <c r="A22" s="16" t="s">
        <v>2</v>
      </c>
      <c r="B22" s="8"/>
      <c r="C22" s="16">
        <v>0.0</v>
      </c>
      <c r="D22" s="8"/>
      <c r="E22" s="12" t="s">
        <v>2</v>
      </c>
      <c r="F22" s="8"/>
      <c r="G22" s="45">
        <v>0.0</v>
      </c>
      <c r="H22" s="8"/>
      <c r="I22" s="45">
        <v>0.0</v>
      </c>
      <c r="J22" s="8"/>
      <c r="K22" s="12">
        <v>0.0</v>
      </c>
      <c r="L22" s="24"/>
      <c r="M22" s="20" t="s">
        <v>5</v>
      </c>
      <c r="N22" s="8"/>
      <c r="O22" s="13"/>
    </row>
    <row r="23" ht="15.75" customHeight="1">
      <c r="A23" s="16" t="s">
        <v>2</v>
      </c>
      <c r="B23" s="8"/>
      <c r="C23" s="16" t="s">
        <v>2</v>
      </c>
      <c r="D23" s="8"/>
      <c r="E23" s="12" t="s">
        <v>2</v>
      </c>
      <c r="F23" s="8"/>
      <c r="G23" s="12" t="s">
        <v>2</v>
      </c>
      <c r="H23" s="8"/>
      <c r="I23" s="45">
        <v>0.0</v>
      </c>
      <c r="J23" s="8"/>
      <c r="K23" s="12">
        <v>0.0</v>
      </c>
      <c r="L23" s="8"/>
      <c r="M23" s="13"/>
      <c r="N23" s="8"/>
      <c r="O23" s="13"/>
    </row>
    <row r="24" ht="15.75" customHeight="1">
      <c r="A24" s="16" t="s">
        <v>2</v>
      </c>
      <c r="B24" s="8"/>
      <c r="C24" s="16" t="s">
        <v>2</v>
      </c>
      <c r="D24" s="8"/>
      <c r="E24" s="12" t="s">
        <v>2</v>
      </c>
      <c r="F24" s="8"/>
      <c r="G24" s="12" t="s">
        <v>2</v>
      </c>
      <c r="H24" s="8"/>
      <c r="I24" s="45">
        <v>0.0</v>
      </c>
      <c r="J24" s="8"/>
      <c r="K24" s="12">
        <v>0.0</v>
      </c>
      <c r="L24" s="8"/>
      <c r="M24" s="13"/>
      <c r="N24" s="8"/>
      <c r="O24" s="13"/>
    </row>
    <row r="25" ht="15.75" customHeight="1">
      <c r="A25" s="16" t="s">
        <v>2</v>
      </c>
      <c r="B25" s="8"/>
      <c r="C25" s="16" t="s">
        <v>2</v>
      </c>
      <c r="D25" s="8"/>
      <c r="E25" s="12" t="s">
        <v>2</v>
      </c>
      <c r="F25" s="8"/>
      <c r="G25" s="12" t="s">
        <v>2</v>
      </c>
      <c r="H25" s="8"/>
      <c r="I25" s="45">
        <v>0.0</v>
      </c>
      <c r="J25" s="8"/>
      <c r="K25" s="12">
        <v>0.0</v>
      </c>
      <c r="L25" s="8"/>
      <c r="M25" s="13"/>
      <c r="N25" s="8"/>
      <c r="O25" s="13"/>
    </row>
    <row r="26" ht="15.75" customHeight="1">
      <c r="A26" s="16" t="s">
        <v>2</v>
      </c>
      <c r="B26" s="8"/>
      <c r="C26" s="16" t="s">
        <v>2</v>
      </c>
      <c r="D26" s="8"/>
      <c r="E26" s="12" t="s">
        <v>2</v>
      </c>
      <c r="F26" s="8"/>
      <c r="G26" s="12" t="s">
        <v>2</v>
      </c>
      <c r="H26" s="8"/>
      <c r="I26" s="12" t="s">
        <v>2</v>
      </c>
      <c r="J26" s="8"/>
      <c r="K26" s="12" t="s">
        <v>2</v>
      </c>
      <c r="L26" s="8"/>
      <c r="M26" s="13"/>
      <c r="N26" s="8"/>
      <c r="O26" s="13"/>
    </row>
    <row r="27" ht="15.75" customHeight="1">
      <c r="A27" s="16" t="s">
        <v>2</v>
      </c>
      <c r="B27" s="8"/>
      <c r="C27" s="16" t="s">
        <v>2</v>
      </c>
      <c r="D27" s="8"/>
      <c r="E27" s="12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L27" s="8"/>
      <c r="M27" s="13"/>
      <c r="N27" s="8"/>
      <c r="O27" s="13"/>
    </row>
    <row r="28" ht="15.75" customHeight="1">
      <c r="A28" s="16" t="s">
        <v>2</v>
      </c>
      <c r="B28" s="8"/>
      <c r="C28" s="16" t="s">
        <v>2</v>
      </c>
      <c r="D28" s="8"/>
      <c r="E28" s="12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L28" s="8"/>
      <c r="M28" s="13"/>
      <c r="N28" s="8"/>
      <c r="O28" s="13"/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L29" s="8"/>
      <c r="M29" s="13"/>
      <c r="N29" s="8"/>
      <c r="O29" s="13"/>
    </row>
    <row r="30" ht="15.75" customHeight="1">
      <c r="A30" s="22">
        <f>SUM(A3:A29)</f>
        <v>5355.144</v>
      </c>
      <c r="B30" s="8"/>
      <c r="C30" s="22">
        <f>SUM(C3:C29)</f>
        <v>5660.849</v>
      </c>
      <c r="D30" s="23"/>
      <c r="E30" s="22">
        <f>SUM(E3:E29)</f>
        <v>5938.5458</v>
      </c>
      <c r="F30" s="22"/>
      <c r="G30" s="22">
        <f>SUM(G3:G29)</f>
        <v>5553.6372</v>
      </c>
      <c r="H30" s="8"/>
      <c r="I30" s="22">
        <f>SUM(I3:I29)</f>
        <v>4749.5484</v>
      </c>
      <c r="J30" s="8"/>
      <c r="K30" s="22">
        <f>SUM(K3:K29)</f>
        <v>6202.058467</v>
      </c>
      <c r="L30" s="8"/>
      <c r="M30" s="22"/>
      <c r="N30" s="8"/>
      <c r="O30" s="22"/>
    </row>
    <row r="31" ht="15.75" customHeight="1">
      <c r="A31" s="49" t="s">
        <v>9</v>
      </c>
      <c r="B31" s="50">
        <f>A30+C30+E30+G30+I30+K30</f>
        <v>33459.78287</v>
      </c>
      <c r="C31" s="2"/>
      <c r="D31" s="2"/>
      <c r="E31" s="2"/>
      <c r="F31" s="2"/>
      <c r="G31" s="2"/>
      <c r="H31" s="2"/>
      <c r="I31" s="2"/>
      <c r="J31" s="2"/>
      <c r="K31" s="3"/>
      <c r="L31" s="7"/>
      <c r="M31" s="7"/>
      <c r="N31" s="7"/>
      <c r="O31" s="7"/>
    </row>
    <row r="32" ht="15.75" customHeight="1">
      <c r="A32" s="26">
        <f>(A30-5123.78)</f>
        <v>231.364</v>
      </c>
      <c r="B32" s="32"/>
      <c r="C32" s="26">
        <f>(C30-5105.4)</f>
        <v>555.449</v>
      </c>
      <c r="D32" s="32"/>
      <c r="E32" s="26">
        <f>(E30-5048.28)</f>
        <v>890.2658</v>
      </c>
      <c r="F32" s="32"/>
      <c r="G32" s="26">
        <f>(G30-5027.38)</f>
        <v>526.2572</v>
      </c>
      <c r="H32" s="32"/>
      <c r="I32" s="26">
        <f>(I30-5136.65)</f>
        <v>-387.1016</v>
      </c>
      <c r="J32" s="32"/>
      <c r="K32" s="26">
        <f>(K30-5101.66)</f>
        <v>1100.398467</v>
      </c>
    </row>
    <row r="33" ht="15.75" customHeight="1"/>
    <row r="34" ht="15.75" customHeight="1"/>
    <row r="35" ht="15.75" customHeight="1">
      <c r="D35" s="35" t="s">
        <v>7</v>
      </c>
      <c r="E35" s="29">
        <f>B31</f>
        <v>33459.78287</v>
      </c>
      <c r="F35" s="29">
        <v>33459.78286666667</v>
      </c>
    </row>
    <row r="36" ht="15.75" customHeight="1">
      <c r="D36" s="35" t="s">
        <v>8</v>
      </c>
      <c r="E36" s="29">
        <f>A32+C32+E32+G32+I32+K32</f>
        <v>2916.632867</v>
      </c>
      <c r="F36" s="29">
        <v>2916.632866666667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B31:K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6" width="12.63"/>
    <col customWidth="1" min="8" max="8" width="17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 t="s">
        <v>11</v>
      </c>
      <c r="B2" s="5"/>
      <c r="C2" s="4" t="s">
        <v>12</v>
      </c>
      <c r="D2" s="7"/>
      <c r="E2" s="4" t="s">
        <v>13</v>
      </c>
      <c r="F2" s="7"/>
      <c r="G2" s="51" t="s">
        <v>1</v>
      </c>
      <c r="H2" s="23"/>
      <c r="I2" s="23" t="s">
        <v>1</v>
      </c>
      <c r="J2" s="23"/>
      <c r="K2" s="23" t="s">
        <v>1</v>
      </c>
      <c r="M2" s="8"/>
      <c r="O2" s="8"/>
    </row>
    <row r="3" ht="15.75" customHeight="1">
      <c r="A3" s="9">
        <f>414-(414*16%)</f>
        <v>347.76</v>
      </c>
      <c r="B3" s="31"/>
      <c r="C3" s="9">
        <f>345-(345*16%)</f>
        <v>289.8</v>
      </c>
      <c r="D3" s="32"/>
      <c r="E3" s="15">
        <v>3037.5</v>
      </c>
      <c r="F3" s="26"/>
      <c r="G3" s="16" t="s">
        <v>2</v>
      </c>
      <c r="H3" s="8"/>
      <c r="I3" s="12" t="s">
        <v>2</v>
      </c>
      <c r="J3" s="8"/>
      <c r="K3" s="12" t="s">
        <v>2</v>
      </c>
      <c r="M3" s="29"/>
      <c r="O3" s="29"/>
    </row>
    <row r="4" ht="15.75" customHeight="1">
      <c r="A4" s="9">
        <f>777.76-(777.76*16%)</f>
        <v>653.3184</v>
      </c>
      <c r="B4" s="10"/>
      <c r="C4" s="9">
        <f>793.17-(793.17*16%)</f>
        <v>666.2628</v>
      </c>
      <c r="D4" s="8"/>
      <c r="E4" s="15">
        <v>3037.5</v>
      </c>
      <c r="F4" s="26"/>
      <c r="G4" s="16" t="s">
        <v>2</v>
      </c>
      <c r="H4" s="8"/>
      <c r="I4" s="12" t="s">
        <v>2</v>
      </c>
      <c r="J4" s="8"/>
      <c r="K4" s="12" t="s">
        <v>2</v>
      </c>
      <c r="M4" s="29"/>
      <c r="O4" s="29"/>
    </row>
    <row r="5" ht="15.75" customHeight="1">
      <c r="A5" s="11">
        <v>299.34</v>
      </c>
      <c r="B5" s="10"/>
      <c r="C5" s="9">
        <f>333.5-(333.5*16%)</f>
        <v>280.14</v>
      </c>
      <c r="D5" s="8"/>
      <c r="E5" s="16" t="s">
        <v>2</v>
      </c>
      <c r="F5" s="8"/>
      <c r="G5" s="16" t="s">
        <v>2</v>
      </c>
      <c r="H5" s="8"/>
      <c r="I5" s="12" t="s">
        <v>2</v>
      </c>
      <c r="J5" s="8"/>
      <c r="K5" s="12" t="s">
        <v>2</v>
      </c>
      <c r="M5" s="29"/>
      <c r="O5" s="29"/>
    </row>
    <row r="6" ht="15.75" customHeight="1">
      <c r="A6" s="9">
        <f>227.7-(227.7*16%)</f>
        <v>191.268</v>
      </c>
      <c r="B6" s="14"/>
      <c r="C6" s="9">
        <f>253-(253*16%)</f>
        <v>212.52</v>
      </c>
      <c r="D6" s="8"/>
      <c r="E6" s="16" t="s">
        <v>2</v>
      </c>
      <c r="F6" s="8"/>
      <c r="G6" s="16" t="s">
        <v>2</v>
      </c>
      <c r="H6" s="8"/>
      <c r="I6" s="12" t="s">
        <v>2</v>
      </c>
      <c r="J6" s="8"/>
      <c r="K6" s="12" t="s">
        <v>2</v>
      </c>
      <c r="M6" s="29"/>
      <c r="O6" s="29"/>
    </row>
    <row r="7" ht="15.75" customHeight="1">
      <c r="A7" s="9">
        <f>250.99-(250.99*16%)</f>
        <v>210.8316</v>
      </c>
      <c r="B7" s="14"/>
      <c r="C7" s="9">
        <f>276-(276*16%)</f>
        <v>231.84</v>
      </c>
      <c r="D7" s="8"/>
      <c r="E7" s="16" t="s">
        <v>2</v>
      </c>
      <c r="F7" s="8"/>
      <c r="G7" s="16" t="s">
        <v>2</v>
      </c>
      <c r="H7" s="8"/>
      <c r="I7" s="12" t="s">
        <v>2</v>
      </c>
      <c r="J7" s="8"/>
      <c r="K7" s="12" t="s">
        <v>2</v>
      </c>
      <c r="M7" s="29"/>
      <c r="O7" s="29"/>
    </row>
    <row r="8" ht="15.75" customHeight="1">
      <c r="A8" s="9">
        <f t="shared" ref="A8:A9" si="1"> 196.65-( 196.65*16%)</f>
        <v>165.186</v>
      </c>
      <c r="B8" s="8"/>
      <c r="C8" s="9">
        <f>218.5-(218.5*16%)</f>
        <v>183.54</v>
      </c>
      <c r="D8" s="8"/>
      <c r="E8" s="16" t="s">
        <v>2</v>
      </c>
      <c r="F8" s="8"/>
      <c r="G8" s="16" t="s">
        <v>2</v>
      </c>
      <c r="H8" s="8"/>
      <c r="I8" s="12" t="s">
        <v>2</v>
      </c>
      <c r="J8" s="8"/>
      <c r="K8" s="12" t="s">
        <v>2</v>
      </c>
      <c r="M8" s="29"/>
      <c r="O8" s="29"/>
    </row>
    <row r="9" ht="15.75" customHeight="1">
      <c r="A9" s="9">
        <f t="shared" si="1"/>
        <v>165.186</v>
      </c>
      <c r="B9" s="10"/>
      <c r="C9" s="9">
        <f>780.72-(780.72*16%)</f>
        <v>655.8048</v>
      </c>
      <c r="D9" s="8"/>
      <c r="E9" s="16" t="s">
        <v>2</v>
      </c>
      <c r="F9" s="8"/>
      <c r="G9" s="16" t="s">
        <v>2</v>
      </c>
      <c r="H9" s="13"/>
      <c r="I9" s="12" t="s">
        <v>2</v>
      </c>
      <c r="J9" s="8"/>
      <c r="K9" s="12" t="s">
        <v>2</v>
      </c>
      <c r="M9" s="29"/>
      <c r="O9" s="29"/>
    </row>
    <row r="10" ht="15.75" customHeight="1">
      <c r="A10" s="9">
        <f>  766.95-(  766.95*16%)</f>
        <v>644.238</v>
      </c>
      <c r="B10" s="10"/>
      <c r="C10" s="9">
        <f> 195.5-( 195.5*16%)</f>
        <v>164.22</v>
      </c>
      <c r="D10" s="8"/>
      <c r="E10" s="16" t="s">
        <v>2</v>
      </c>
      <c r="F10" s="8"/>
      <c r="G10" s="16" t="s">
        <v>2</v>
      </c>
      <c r="H10" s="8"/>
      <c r="I10" s="12" t="s">
        <v>2</v>
      </c>
      <c r="J10" s="8"/>
      <c r="K10" s="12" t="s">
        <v>2</v>
      </c>
      <c r="M10" s="29"/>
      <c r="O10" s="29"/>
    </row>
    <row r="11" ht="15.75" customHeight="1">
      <c r="A11" s="9">
        <f>   799.38-(   799.38*16%)</f>
        <v>671.4792</v>
      </c>
      <c r="B11" s="10"/>
      <c r="C11" s="9">
        <f> 322-( 322*16%)</f>
        <v>270.48</v>
      </c>
      <c r="D11" s="8"/>
      <c r="E11" s="16" t="s">
        <v>2</v>
      </c>
      <c r="F11" s="8"/>
      <c r="G11" s="16" t="s">
        <v>2</v>
      </c>
      <c r="H11" s="8"/>
      <c r="I11" s="12" t="s">
        <v>2</v>
      </c>
      <c r="J11" s="8"/>
      <c r="K11" s="12" t="s">
        <v>2</v>
      </c>
      <c r="M11" s="29"/>
      <c r="O11" s="29"/>
    </row>
    <row r="12" ht="15.75" customHeight="1">
      <c r="A12" s="9">
        <f>   709.46-(   709.46*16%)</f>
        <v>595.9464</v>
      </c>
      <c r="B12" s="10"/>
      <c r="C12" s="9">
        <f> 323.5-( 323.5*16%)</f>
        <v>271.74</v>
      </c>
      <c r="D12" s="8"/>
      <c r="E12" s="16" t="s">
        <v>2</v>
      </c>
      <c r="F12" s="8"/>
      <c r="G12" s="16" t="s">
        <v>2</v>
      </c>
      <c r="H12" s="8"/>
      <c r="I12" s="12" t="s">
        <v>2</v>
      </c>
      <c r="J12" s="8"/>
      <c r="K12" s="12" t="s">
        <v>2</v>
      </c>
      <c r="M12" s="29"/>
      <c r="O12" s="29"/>
    </row>
    <row r="13" ht="15.75" customHeight="1">
      <c r="A13" s="9">
        <f>   189.63-(   189.63*16%)</f>
        <v>159.2892</v>
      </c>
      <c r="B13" s="8"/>
      <c r="C13" s="9">
        <f>253-(253*16%)</f>
        <v>212.52</v>
      </c>
      <c r="D13" s="8"/>
      <c r="E13" s="16" t="s">
        <v>2</v>
      </c>
      <c r="F13" s="8"/>
      <c r="G13" s="16" t="s">
        <v>2</v>
      </c>
      <c r="H13" s="8"/>
      <c r="I13" s="12" t="s">
        <v>2</v>
      </c>
      <c r="J13" s="8"/>
      <c r="K13" s="12" t="s">
        <v>2</v>
      </c>
      <c r="M13" s="29"/>
      <c r="O13" s="29"/>
    </row>
    <row r="14" ht="15.75" customHeight="1">
      <c r="A14" s="9">
        <f>   190.76-(   190.76*16%)</f>
        <v>160.2384</v>
      </c>
      <c r="B14" s="10"/>
      <c r="C14" s="9">
        <f>292.15-(292.15*16%)</f>
        <v>245.406</v>
      </c>
      <c r="D14" s="8"/>
      <c r="E14" s="16" t="s">
        <v>2</v>
      </c>
      <c r="F14" s="8"/>
      <c r="G14" s="16" t="s">
        <v>2</v>
      </c>
      <c r="H14" s="8"/>
      <c r="I14" s="12" t="s">
        <v>2</v>
      </c>
      <c r="J14" s="8"/>
      <c r="K14" s="12" t="s">
        <v>2</v>
      </c>
      <c r="M14" s="29"/>
      <c r="O14" s="29"/>
    </row>
    <row r="15" ht="15.75" customHeight="1">
      <c r="A15" s="9">
        <f>    1136.48-(  1136.48*16%)</f>
        <v>954.6432</v>
      </c>
      <c r="B15" s="10"/>
      <c r="C15" s="15">
        <f>250-(250*10%)</f>
        <v>225</v>
      </c>
      <c r="D15" s="8"/>
      <c r="E15" s="16" t="s">
        <v>2</v>
      </c>
      <c r="F15" s="8"/>
      <c r="G15" s="16" t="s">
        <v>2</v>
      </c>
      <c r="H15" s="8"/>
      <c r="I15" s="12" t="s">
        <v>2</v>
      </c>
      <c r="J15" s="8"/>
      <c r="K15" s="12" t="s">
        <v>2</v>
      </c>
      <c r="M15" s="29"/>
      <c r="O15" s="29"/>
    </row>
    <row r="16" ht="15.75" customHeight="1">
      <c r="A16" s="9">
        <f>     288.14-(   288.14*16%)</f>
        <v>242.0376</v>
      </c>
      <c r="B16" s="10"/>
      <c r="C16" s="9">
        <f>207-(207*16%)</f>
        <v>173.88</v>
      </c>
      <c r="D16" s="8"/>
      <c r="E16" s="16" t="s">
        <v>2</v>
      </c>
      <c r="F16" s="8"/>
      <c r="G16" s="16" t="s">
        <v>2</v>
      </c>
      <c r="H16" s="8"/>
      <c r="I16" s="12" t="s">
        <v>2</v>
      </c>
      <c r="J16" s="8"/>
      <c r="K16" s="12" t="s">
        <v>2</v>
      </c>
      <c r="M16" s="29"/>
      <c r="O16" s="29"/>
    </row>
    <row r="17" ht="15.75" customHeight="1">
      <c r="A17" s="9">
        <f>     372.6
-(   372.6
*16%)</f>
        <v>312.984</v>
      </c>
      <c r="B17" s="10"/>
      <c r="C17" s="9">
        <f>184-(184*16%)</f>
        <v>154.56</v>
      </c>
      <c r="D17" s="8"/>
      <c r="E17" s="16" t="s">
        <v>2</v>
      </c>
      <c r="F17" s="8"/>
      <c r="G17" s="16" t="s">
        <v>2</v>
      </c>
      <c r="H17" s="8"/>
      <c r="I17" s="12" t="s">
        <v>2</v>
      </c>
      <c r="J17" s="8"/>
      <c r="K17" s="12" t="s">
        <v>2</v>
      </c>
      <c r="M17" s="29"/>
      <c r="O17" s="29"/>
    </row>
    <row r="18" ht="15.75" customHeight="1">
      <c r="A18" s="9">
        <f> 271.07-(   271.07*16%)</f>
        <v>227.6988</v>
      </c>
      <c r="B18" s="8"/>
      <c r="C18" s="9">
        <f>253-(253*16%)</f>
        <v>212.52</v>
      </c>
      <c r="D18" s="8"/>
      <c r="E18" s="16" t="s">
        <v>2</v>
      </c>
      <c r="F18" s="8"/>
      <c r="G18" s="16" t="s">
        <v>2</v>
      </c>
      <c r="H18" s="8"/>
      <c r="I18" s="12" t="s">
        <v>2</v>
      </c>
      <c r="J18" s="8"/>
      <c r="K18" s="12" t="s">
        <v>2</v>
      </c>
      <c r="M18" s="29"/>
      <c r="O18" s="29"/>
    </row>
    <row r="19" ht="15.75" customHeight="1">
      <c r="A19" s="9">
        <f>250.99-(250.99*16%)</f>
        <v>210.8316</v>
      </c>
      <c r="B19" s="10"/>
      <c r="C19" s="9">
        <f>292.15-(292.15*16%)</f>
        <v>245.406</v>
      </c>
      <c r="D19" s="8"/>
      <c r="E19" s="16" t="s">
        <v>2</v>
      </c>
      <c r="F19" s="8"/>
      <c r="G19" s="16" t="s">
        <v>2</v>
      </c>
      <c r="H19" s="8"/>
      <c r="I19" s="12" t="s">
        <v>2</v>
      </c>
      <c r="J19" s="8"/>
      <c r="K19" s="12" t="s">
        <v>2</v>
      </c>
      <c r="M19" s="29"/>
      <c r="O19" s="29"/>
    </row>
    <row r="20" ht="15.75" customHeight="1">
      <c r="A20" s="9">
        <f>321.26-(321.26*16%)</f>
        <v>269.8584</v>
      </c>
      <c r="B20" s="10"/>
      <c r="C20" s="9">
        <f> 216.41-( 216.41*16%)</f>
        <v>181.7844</v>
      </c>
      <c r="D20" s="8"/>
      <c r="E20" s="16" t="s">
        <v>2</v>
      </c>
      <c r="F20" s="8"/>
      <c r="G20" s="16" t="s">
        <v>2</v>
      </c>
      <c r="H20" s="8"/>
      <c r="I20" s="12" t="s">
        <v>2</v>
      </c>
      <c r="J20" s="8"/>
      <c r="K20" s="12" t="s">
        <v>2</v>
      </c>
      <c r="M20" s="19"/>
      <c r="N20" s="20" t="s">
        <v>3</v>
      </c>
      <c r="O20" s="29"/>
    </row>
    <row r="21" ht="15.75" customHeight="1">
      <c r="A21" s="16" t="s">
        <v>2</v>
      </c>
      <c r="B21" s="10"/>
      <c r="C21" s="9">
        <f> 310.5-( 310.5*16%)</f>
        <v>260.82</v>
      </c>
      <c r="D21" s="8"/>
      <c r="E21" s="16" t="s">
        <v>2</v>
      </c>
      <c r="F21" s="8"/>
      <c r="G21" s="16" t="s">
        <v>2</v>
      </c>
      <c r="H21" s="8"/>
      <c r="I21" s="12" t="s">
        <v>2</v>
      </c>
      <c r="J21" s="8"/>
      <c r="K21" s="12" t="s">
        <v>2</v>
      </c>
      <c r="M21" s="21"/>
      <c r="N21" s="20" t="s">
        <v>4</v>
      </c>
      <c r="O21" s="29"/>
    </row>
    <row r="22" ht="15.75" customHeight="1">
      <c r="A22" s="16" t="s">
        <v>2</v>
      </c>
      <c r="B22" s="8"/>
      <c r="C22" s="9">
        <f> 742.02-( 742.02*16%)</f>
        <v>623.2968</v>
      </c>
      <c r="D22" s="8"/>
      <c r="E22" s="16" t="s">
        <v>2</v>
      </c>
      <c r="F22" s="8"/>
      <c r="G22" s="16" t="s">
        <v>2</v>
      </c>
      <c r="H22" s="8"/>
      <c r="I22" s="12" t="s">
        <v>2</v>
      </c>
      <c r="J22" s="8"/>
      <c r="K22" s="12" t="s">
        <v>2</v>
      </c>
      <c r="M22" s="24"/>
      <c r="N22" s="20" t="s">
        <v>5</v>
      </c>
      <c r="O22" s="29"/>
    </row>
    <row r="23" ht="15.75" customHeight="1">
      <c r="A23" s="16" t="s">
        <v>2</v>
      </c>
      <c r="B23" s="8"/>
      <c r="C23" s="9">
        <f> 230-( 230*16%)</f>
        <v>193.2</v>
      </c>
      <c r="D23" s="8"/>
      <c r="E23" s="16" t="s">
        <v>2</v>
      </c>
      <c r="F23" s="8"/>
      <c r="G23" s="16" t="s">
        <v>2</v>
      </c>
      <c r="H23" s="8"/>
      <c r="I23" s="12" t="s">
        <v>2</v>
      </c>
      <c r="J23" s="8"/>
      <c r="K23" s="12" t="s">
        <v>2</v>
      </c>
      <c r="M23" s="29"/>
      <c r="O23" s="29"/>
    </row>
    <row r="24" ht="15.75" customHeight="1">
      <c r="A24" s="16" t="s">
        <v>2</v>
      </c>
      <c r="B24" s="8"/>
      <c r="C24" s="9">
        <f>(433.4736)/2*1</f>
        <v>216.7368</v>
      </c>
      <c r="D24" s="8"/>
      <c r="E24" s="12" t="s">
        <v>2</v>
      </c>
      <c r="F24" s="8"/>
      <c r="G24" s="12" t="s">
        <v>2</v>
      </c>
      <c r="H24" s="8"/>
      <c r="I24" s="12" t="s">
        <v>2</v>
      </c>
      <c r="J24" s="8"/>
      <c r="K24" s="12" t="s">
        <v>2</v>
      </c>
      <c r="M24" s="29"/>
      <c r="O24" s="29"/>
    </row>
    <row r="25" ht="15.75" customHeight="1">
      <c r="A25" s="16" t="s">
        <v>2</v>
      </c>
      <c r="B25" s="8"/>
      <c r="C25" s="16" t="s">
        <v>2</v>
      </c>
      <c r="D25" s="8"/>
      <c r="E25" s="12" t="s">
        <v>2</v>
      </c>
      <c r="F25" s="8"/>
      <c r="G25" s="12" t="s">
        <v>2</v>
      </c>
      <c r="H25" s="8"/>
      <c r="I25" s="12" t="s">
        <v>2</v>
      </c>
      <c r="J25" s="8"/>
      <c r="K25" s="12" t="s">
        <v>2</v>
      </c>
      <c r="M25" s="29"/>
      <c r="O25" s="29"/>
    </row>
    <row r="26" ht="15.75" customHeight="1">
      <c r="A26" s="16" t="s">
        <v>2</v>
      </c>
      <c r="B26" s="8"/>
      <c r="C26" s="16" t="s">
        <v>2</v>
      </c>
      <c r="D26" s="8"/>
      <c r="E26" s="12" t="s">
        <v>2</v>
      </c>
      <c r="F26" s="8"/>
      <c r="G26" s="12" t="s">
        <v>2</v>
      </c>
      <c r="H26" s="8"/>
      <c r="I26" s="12" t="s">
        <v>2</v>
      </c>
      <c r="J26" s="8"/>
      <c r="K26" s="12" t="s">
        <v>2</v>
      </c>
      <c r="M26" s="29"/>
      <c r="O26" s="29"/>
    </row>
    <row r="27" ht="15.75" customHeight="1">
      <c r="A27" s="16" t="s">
        <v>2</v>
      </c>
      <c r="B27" s="8"/>
      <c r="C27" s="16" t="s">
        <v>2</v>
      </c>
      <c r="D27" s="8"/>
      <c r="E27" s="12" t="s">
        <v>2</v>
      </c>
      <c r="F27" s="8"/>
      <c r="G27" s="12" t="s">
        <v>2</v>
      </c>
      <c r="H27" s="8"/>
      <c r="I27" s="12" t="s">
        <v>2</v>
      </c>
      <c r="J27" s="8"/>
      <c r="K27" s="12" t="s">
        <v>2</v>
      </c>
      <c r="M27" s="29"/>
      <c r="O27" s="29"/>
    </row>
    <row r="28" ht="15.75" customHeight="1">
      <c r="A28" s="16" t="s">
        <v>2</v>
      </c>
      <c r="B28" s="8"/>
      <c r="C28" s="16" t="s">
        <v>2</v>
      </c>
      <c r="D28" s="8"/>
      <c r="E28" s="12" t="s">
        <v>2</v>
      </c>
      <c r="F28" s="8"/>
      <c r="G28" s="12" t="s">
        <v>2</v>
      </c>
      <c r="H28" s="8"/>
      <c r="I28" s="12" t="s">
        <v>2</v>
      </c>
      <c r="J28" s="8"/>
      <c r="K28" s="12" t="s">
        <v>2</v>
      </c>
      <c r="M28" s="29"/>
      <c r="O28" s="29"/>
    </row>
    <row r="29" ht="15.75" customHeight="1">
      <c r="A29" s="16" t="s">
        <v>2</v>
      </c>
      <c r="B29" s="8"/>
      <c r="C29" s="16" t="s">
        <v>2</v>
      </c>
      <c r="D29" s="8"/>
      <c r="E29" s="12" t="s">
        <v>2</v>
      </c>
      <c r="F29" s="8"/>
      <c r="G29" s="12" t="s">
        <v>2</v>
      </c>
      <c r="H29" s="8"/>
      <c r="I29" s="12" t="s">
        <v>2</v>
      </c>
      <c r="J29" s="8"/>
      <c r="K29" s="12" t="s">
        <v>2</v>
      </c>
      <c r="M29" s="29"/>
      <c r="O29" s="29"/>
    </row>
    <row r="30" ht="15.75" customHeight="1">
      <c r="A30" s="22">
        <f>SUM(A3:A29)</f>
        <v>6482.1348</v>
      </c>
      <c r="B30" s="8"/>
      <c r="C30" s="22">
        <f>SUM(C3:C29)</f>
        <v>6171.4776</v>
      </c>
      <c r="D30" s="23"/>
      <c r="E30" s="22">
        <f>SUM(E3:E29)</f>
        <v>6075</v>
      </c>
      <c r="F30" s="22"/>
      <c r="G30" s="22">
        <f>SUM(G3:G29)</f>
        <v>0</v>
      </c>
      <c r="H30" s="8"/>
      <c r="I30" s="22">
        <f>SUM(I3:I29)</f>
        <v>0</v>
      </c>
      <c r="J30" s="8"/>
      <c r="K30" s="22">
        <f>SUM(K3:K29)</f>
        <v>0</v>
      </c>
      <c r="M30" s="28"/>
      <c r="O30" s="28"/>
    </row>
    <row r="31" ht="15.75" customHeight="1">
      <c r="A31" s="7" t="s">
        <v>9</v>
      </c>
      <c r="B31" s="25">
        <f>A30+C30+E30+G30+I30+K30</f>
        <v>18728.6124</v>
      </c>
    </row>
    <row r="32" ht="15.75" customHeight="1">
      <c r="A32" s="34">
        <f>(A30-4725.17)</f>
        <v>1756.9648</v>
      </c>
      <c r="B32" s="34"/>
      <c r="C32" s="34">
        <f>(C30-6496.79)</f>
        <v>-325.3124</v>
      </c>
      <c r="D32" s="34"/>
      <c r="E32" s="34">
        <f>(E30-6713.71)</f>
        <v>-638.71</v>
      </c>
      <c r="F32" s="34"/>
      <c r="G32" s="34">
        <f>(G30-0)</f>
        <v>0</v>
      </c>
      <c r="H32" s="34"/>
      <c r="I32" s="34">
        <f>(I30-0)</f>
        <v>0</v>
      </c>
      <c r="J32" s="34"/>
      <c r="K32" s="34">
        <f>(K30-0)</f>
        <v>0</v>
      </c>
    </row>
    <row r="33" ht="15.75" customHeight="1"/>
    <row r="34" ht="15.75" customHeight="1"/>
    <row r="35" ht="15.75" customHeight="1"/>
    <row r="36" ht="15.75" customHeight="1">
      <c r="D36" s="35" t="s">
        <v>7</v>
      </c>
      <c r="E36" s="29">
        <f>B31</f>
        <v>18728.6124</v>
      </c>
      <c r="F36" s="29">
        <v>18728.612399999998</v>
      </c>
    </row>
    <row r="37" ht="15.75" customHeight="1">
      <c r="D37" s="35" t="s">
        <v>8</v>
      </c>
      <c r="E37" s="29">
        <f>A32+C32+E32+G32+I32+K32</f>
        <v>792.9424</v>
      </c>
      <c r="F37" s="29">
        <v>792.9423999999981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B31:K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7.88"/>
    <col customWidth="1" min="3" max="3" width="18.5"/>
    <col customWidth="1" min="4" max="4" width="15.63"/>
    <col customWidth="1" min="5" max="6" width="12.63"/>
    <col customWidth="1" min="11" max="11" width="14.0"/>
    <col customWidth="1" min="16" max="16" width="16.0"/>
  </cols>
  <sheetData>
    <row r="1" ht="15.75" customHeight="1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5.75" customHeight="1">
      <c r="A2" s="5" t="s">
        <v>15</v>
      </c>
      <c r="B2" s="5"/>
      <c r="C2" s="7" t="s">
        <v>16</v>
      </c>
      <c r="D2" s="7"/>
      <c r="E2" s="7" t="s">
        <v>17</v>
      </c>
      <c r="F2" s="7"/>
      <c r="G2" s="7" t="s">
        <v>18</v>
      </c>
      <c r="H2" s="7"/>
      <c r="I2" s="7" t="s">
        <v>19</v>
      </c>
      <c r="J2" s="7"/>
      <c r="K2" s="7" t="s">
        <v>20</v>
      </c>
      <c r="L2" s="7"/>
      <c r="M2" s="7" t="s">
        <v>21</v>
      </c>
      <c r="N2" s="7"/>
      <c r="O2" s="7" t="s">
        <v>22</v>
      </c>
      <c r="P2" s="52"/>
      <c r="Q2" s="44" t="s">
        <v>23</v>
      </c>
    </row>
    <row r="3" ht="15.75" customHeight="1">
      <c r="A3" s="13">
        <v>15118.573400000001</v>
      </c>
      <c r="B3" s="10" t="s">
        <v>7</v>
      </c>
      <c r="C3" s="13">
        <v>33954.7877</v>
      </c>
      <c r="D3" s="8" t="s">
        <v>7</v>
      </c>
      <c r="E3" s="13">
        <v>31727.9873</v>
      </c>
      <c r="F3" s="8" t="s">
        <v>7</v>
      </c>
      <c r="G3" s="13">
        <v>4929.1850691244235</v>
      </c>
      <c r="H3" s="8" t="s">
        <v>7</v>
      </c>
      <c r="I3" s="13">
        <v>5715.447299999999</v>
      </c>
      <c r="J3" s="8" t="s">
        <v>7</v>
      </c>
      <c r="K3" s="13">
        <v>4889.417</v>
      </c>
      <c r="L3" s="8" t="s">
        <v>7</v>
      </c>
      <c r="M3" s="13">
        <v>18728.612399999998</v>
      </c>
      <c r="N3" s="8" t="s">
        <v>7</v>
      </c>
      <c r="O3" s="13">
        <v>33459.78286666667</v>
      </c>
      <c r="P3" s="8" t="s">
        <v>7</v>
      </c>
      <c r="Q3" s="13">
        <v>3315.1172</v>
      </c>
    </row>
    <row r="4" ht="15.75" customHeight="1">
      <c r="A4" s="13">
        <v>827.8734000000004</v>
      </c>
      <c r="B4" s="10" t="s">
        <v>8</v>
      </c>
      <c r="C4" s="13">
        <v>-1486.0022999999983</v>
      </c>
      <c r="D4" s="8" t="s">
        <v>8</v>
      </c>
      <c r="E4" s="13">
        <v>-7618.1527</v>
      </c>
      <c r="F4" s="8" t="s">
        <v>8</v>
      </c>
      <c r="G4" s="13">
        <v>-2200.154930875576</v>
      </c>
      <c r="H4" s="8" t="s">
        <v>8</v>
      </c>
      <c r="I4" s="13">
        <v>-2813.3927000000012</v>
      </c>
      <c r="J4" s="8" t="s">
        <v>8</v>
      </c>
      <c r="K4" s="13">
        <v>1714.6070000000004</v>
      </c>
      <c r="L4" s="8" t="s">
        <v>8</v>
      </c>
      <c r="M4" s="13">
        <v>792.9423999999981</v>
      </c>
      <c r="N4" s="8" t="s">
        <v>8</v>
      </c>
      <c r="O4" s="13">
        <v>2916.632866666667</v>
      </c>
      <c r="P4" s="8" t="s">
        <v>8</v>
      </c>
      <c r="Q4" s="13">
        <v>400.69720000000007</v>
      </c>
    </row>
    <row r="5" ht="15.75" customHeight="1">
      <c r="A5" s="16" t="s">
        <v>2</v>
      </c>
      <c r="B5" s="10"/>
      <c r="C5" s="16" t="s">
        <v>2</v>
      </c>
      <c r="D5" s="8"/>
      <c r="E5" s="12" t="s">
        <v>2</v>
      </c>
      <c r="F5" s="8"/>
      <c r="G5" s="12" t="s">
        <v>2</v>
      </c>
      <c r="H5" s="8"/>
      <c r="I5" s="12" t="s">
        <v>2</v>
      </c>
      <c r="J5" s="8"/>
      <c r="K5" s="12" t="s">
        <v>2</v>
      </c>
      <c r="L5" s="8"/>
      <c r="M5" s="12" t="s">
        <v>2</v>
      </c>
      <c r="N5" s="8"/>
      <c r="O5" s="12" t="s">
        <v>2</v>
      </c>
      <c r="Q5" s="12" t="s">
        <v>2</v>
      </c>
    </row>
    <row r="6" ht="15.75" customHeight="1">
      <c r="A6" s="12" t="s">
        <v>2</v>
      </c>
      <c r="B6" s="8"/>
      <c r="C6" s="12" t="s">
        <v>2</v>
      </c>
      <c r="D6" s="23"/>
      <c r="E6" s="12" t="s">
        <v>2</v>
      </c>
      <c r="F6" s="22"/>
      <c r="G6" s="12" t="s">
        <v>2</v>
      </c>
      <c r="H6" s="8"/>
      <c r="I6" s="12" t="s">
        <v>2</v>
      </c>
      <c r="J6" s="8"/>
      <c r="K6" s="12" t="s">
        <v>2</v>
      </c>
      <c r="L6" s="8"/>
      <c r="M6" s="12" t="s">
        <v>2</v>
      </c>
      <c r="N6" s="8"/>
      <c r="O6" s="12" t="s">
        <v>2</v>
      </c>
      <c r="Q6" s="12" t="s">
        <v>2</v>
      </c>
    </row>
    <row r="7" ht="15.75" customHeight="1">
      <c r="A7" s="49" t="s">
        <v>24</v>
      </c>
      <c r="B7" s="50">
        <f t="shared" ref="B7:B8" si="1">A3+C3+E3+G3+I3+K3+M3+O3+Q3</f>
        <v>151838.9102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</row>
    <row r="8" ht="15.75" customHeight="1">
      <c r="A8" s="53" t="s">
        <v>25</v>
      </c>
      <c r="B8" s="50">
        <f t="shared" si="1"/>
        <v>-7464.949764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P1"/>
    <mergeCell ref="B7:P7"/>
    <mergeCell ref="B8:P8"/>
  </mergeCells>
  <drawing r:id="rId1"/>
</worksheet>
</file>