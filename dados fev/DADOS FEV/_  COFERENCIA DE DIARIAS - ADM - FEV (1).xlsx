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SENCE" sheetId="1" r:id="rId5"/>
    <sheet state="visible" name="EASY" sheetId="2" r:id="rId6"/>
    <sheet state="visible" name="CULLINAN" sheetId="3" r:id="rId7"/>
    <sheet state="visible" name="ATHOS" sheetId="4" r:id="rId8"/>
    <sheet state="visible" name="NOBILE" sheetId="5" r:id="rId9"/>
    <sheet state="visible" name="FUSION" sheetId="6" r:id="rId10"/>
    <sheet state="visible" name="MERCURE" sheetId="7" r:id="rId11"/>
    <sheet state="visible" name="METROPOLITAN" sheetId="8" r:id="rId12"/>
    <sheet state="visible" name="RAMADA" sheetId="9" r:id="rId13"/>
    <sheet state="visible" name="BRISAS" sheetId="10" r:id="rId14"/>
    <sheet state="visible" name="RESULTADO ADM MES" sheetId="11" r:id="rId15"/>
  </sheets>
  <definedNames/>
  <calcPr/>
</workbook>
</file>

<file path=xl/sharedStrings.xml><?xml version="1.0" encoding="utf-8"?>
<sst xmlns="http://schemas.openxmlformats.org/spreadsheetml/2006/main" count="122" uniqueCount="32">
  <si>
    <t>FEV</t>
  </si>
  <si>
    <t>desconto fev</t>
  </si>
  <si>
    <t>TOTAL:</t>
  </si>
  <si>
    <t>FAT</t>
  </si>
  <si>
    <t>booking</t>
  </si>
  <si>
    <t>LUC</t>
  </si>
  <si>
    <t>airbnb</t>
  </si>
  <si>
    <t>alugueasy</t>
  </si>
  <si>
    <t>TOTAL</t>
  </si>
  <si>
    <t>ok</t>
  </si>
  <si>
    <t>1615A</t>
  </si>
  <si>
    <t>1615A - 1615</t>
  </si>
  <si>
    <t>1701A</t>
  </si>
  <si>
    <t>1701 - 1701A</t>
  </si>
  <si>
    <t>-</t>
  </si>
  <si>
    <t>D137</t>
  </si>
  <si>
    <t>D138</t>
  </si>
  <si>
    <t>E016</t>
  </si>
  <si>
    <t>B119</t>
  </si>
  <si>
    <t>FEV - ADM</t>
  </si>
  <si>
    <t>ESSENCE</t>
  </si>
  <si>
    <t>EASY</t>
  </si>
  <si>
    <t>CULLINAN</t>
  </si>
  <si>
    <t>ATHOS</t>
  </si>
  <si>
    <t>NOBILE</t>
  </si>
  <si>
    <t>FUSION</t>
  </si>
  <si>
    <t>MERCURE</t>
  </si>
  <si>
    <t>METROPOLITAN</t>
  </si>
  <si>
    <t>RAMADA</t>
  </si>
  <si>
    <t>BRISAS</t>
  </si>
  <si>
    <t>TOTAL FAT</t>
  </si>
  <si>
    <t>TOTAL LUC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</si>
</sst>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/>
    <font>
      <b/>
      <sz val="11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E06666"/>
        <bgColor rgb="FFE06666"/>
      </patternFill>
    </fill>
    <fill>
      <patternFill patternType="solid">
        <fgColor rgb="FFCFE2F3"/>
        <bgColor rgb="FFCFE2F3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2" numFmtId="0" xfId="0" applyBorder="1" applyFont="1"/>
    <xf borderId="3" fillId="0" fontId="2" numFmtId="0" xfId="0" applyBorder="1" applyFont="1"/>
    <xf borderId="0" fillId="2" fontId="3" numFmtId="0" xfId="0" applyAlignment="1" applyFill="1" applyFont="1">
      <alignment horizontal="center" readingOrder="0" shrinkToFit="0" vertical="bottom" wrapText="0"/>
    </xf>
    <xf borderId="0" fillId="3" fontId="3" numFmtId="0" xfId="0" applyAlignment="1" applyFill="1" applyFont="1">
      <alignment horizontal="center" readingOrder="0" shrinkToFit="0" vertical="bottom" wrapText="0"/>
    </xf>
    <xf borderId="0" fillId="2" fontId="4" numFmtId="0" xfId="0" applyAlignment="1" applyFont="1">
      <alignment horizontal="center" readingOrder="0"/>
    </xf>
    <xf borderId="0" fillId="3" fontId="4" numFmtId="0" xfId="0" applyAlignment="1" applyFont="1">
      <alignment horizontal="center"/>
    </xf>
    <xf borderId="0" fillId="3" fontId="4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4" fontId="6" numFmtId="164" xfId="0" applyAlignment="1" applyFill="1" applyFont="1" applyNumberForma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5" fontId="6" numFmtId="164" xfId="0" applyAlignment="1" applyFill="1" applyFont="1" applyNumberFormat="1">
      <alignment horizontal="center" readingOrder="0" shrinkToFit="0" vertical="bottom" wrapText="0"/>
    </xf>
    <xf borderId="0" fillId="4" fontId="5" numFmtId="164" xfId="0" applyAlignment="1" applyFont="1" applyNumberFormat="1">
      <alignment horizontal="center" readingOrder="0"/>
    </xf>
    <xf borderId="0" fillId="5" fontId="5" numFmtId="164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6" fontId="6" numFmtId="164" xfId="0" applyAlignment="1" applyFill="1" applyFont="1" applyNumberFormat="1">
      <alignment horizontal="center" readingOrder="0" shrinkToFit="0" vertical="bottom" wrapText="0"/>
    </xf>
    <xf borderId="0" fillId="6" fontId="5" numFmtId="164" xfId="0" applyAlignment="1" applyFont="1" applyNumberFormat="1">
      <alignment horizontal="center" readingOrder="0"/>
    </xf>
    <xf borderId="0" fillId="0" fontId="6" numFmtId="164" xfId="0" applyAlignment="1" applyFont="1" applyNumberForma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wrapText="1"/>
    </xf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3" fontId="4" numFmtId="164" xfId="0" applyAlignment="1" applyFont="1" applyNumberFormat="1">
      <alignment horizontal="center"/>
    </xf>
    <xf borderId="0" fillId="3" fontId="5" numFmtId="164" xfId="0" applyAlignment="1" applyFont="1" applyNumberFormat="1">
      <alignment horizontal="center"/>
    </xf>
    <xf borderId="0" fillId="0" fontId="5" numFmtId="0" xfId="0" applyAlignment="1" applyFont="1">
      <alignment readingOrder="0"/>
    </xf>
    <xf borderId="0" fillId="0" fontId="5" numFmtId="164" xfId="0" applyFont="1" applyNumberFormat="1"/>
    <xf borderId="0" fillId="4" fontId="5" numFmtId="0" xfId="0" applyFont="1"/>
    <xf borderId="0" fillId="5" fontId="6" numFmtId="0" xfId="0" applyAlignment="1" applyFont="1">
      <alignment horizontal="center" readingOrder="0" shrinkToFit="0" vertical="bottom" wrapText="0"/>
    </xf>
    <xf borderId="0" fillId="6" fontId="6" numFmtId="0" xfId="0" applyAlignment="1" applyFont="1">
      <alignment horizontal="center" readingOrder="0" shrinkToFit="0" vertical="bottom" wrapText="0"/>
    </xf>
    <xf borderId="0" fillId="3" fontId="5" numFmtId="0" xfId="0" applyAlignment="1" applyFont="1">
      <alignment horizontal="center" readingOrder="0"/>
    </xf>
    <xf borderId="0" fillId="3" fontId="5" numFmtId="0" xfId="0" applyAlignment="1" applyFont="1">
      <alignment horizontal="center"/>
    </xf>
    <xf borderId="0" fillId="3" fontId="6" numFmtId="0" xfId="0" applyAlignment="1" applyFont="1">
      <alignment horizontal="center" readingOrder="0" shrinkToFit="0" vertical="bottom" wrapText="0"/>
    </xf>
    <xf borderId="0" fillId="3" fontId="6" numFmtId="164" xfId="0" applyAlignment="1" applyFont="1" applyNumberFormat="1">
      <alignment horizontal="center" readingOrder="0" shrinkToFit="0" vertical="bottom" wrapText="0"/>
    </xf>
    <xf borderId="0" fillId="3" fontId="3" numFmtId="164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 shrinkToFit="0" vertical="bottom" wrapText="0"/>
    </xf>
    <xf borderId="0" fillId="3" fontId="5" numFmtId="0" xfId="0" applyFont="1"/>
    <xf borderId="0" fillId="0" fontId="5" numFmtId="164" xfId="0" applyAlignment="1" applyFont="1" applyNumberFormat="1">
      <alignment readingOrder="0"/>
    </xf>
    <xf borderId="0" fillId="0" fontId="4" numFmtId="164" xfId="0" applyFont="1" applyNumberFormat="1"/>
    <xf borderId="0" fillId="0" fontId="7" numFmtId="164" xfId="0" applyAlignment="1" applyFont="1" applyNumberFormat="1">
      <alignment horizontal="center" vertical="bottom"/>
    </xf>
    <xf borderId="0" fillId="3" fontId="5" numFmtId="164" xfId="0" applyFont="1" applyNumberFormat="1"/>
    <xf borderId="1" fillId="3" fontId="4" numFmtId="0" xfId="0" applyAlignment="1" applyBorder="1" applyFont="1">
      <alignment horizontal="center" readingOrder="0"/>
    </xf>
    <xf borderId="1" fillId="3" fontId="4" numFmtId="164" xfId="0" applyAlignment="1" applyBorder="1" applyFont="1" applyNumberFormat="1">
      <alignment horizontal="center"/>
    </xf>
    <xf borderId="0" fillId="3" fontId="5" numFmtId="164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/>
    </xf>
    <xf borderId="0" fillId="0" fontId="5" numFmtId="164" xfId="0" applyAlignment="1" applyFont="1" applyNumberFormat="1">
      <alignment horizontal="right" readingOrder="0"/>
    </xf>
    <xf borderId="1" fillId="3" fontId="1" numFmtId="0" xfId="0" applyAlignment="1" applyBorder="1" applyFont="1">
      <alignment horizontal="center" vertical="top"/>
    </xf>
    <xf borderId="0" fillId="4" fontId="7" numFmtId="164" xfId="0" applyAlignment="1" applyFont="1" applyNumberFormat="1">
      <alignment horizontal="center" vertical="bottom"/>
    </xf>
    <xf borderId="0" fillId="6" fontId="7" numFmtId="164" xfId="0" applyAlignment="1" applyFont="1" applyNumberFormat="1">
      <alignment horizontal="center" vertical="bottom"/>
    </xf>
    <xf borderId="1" fillId="3" fontId="3" numFmtId="0" xfId="0" applyAlignment="1" applyBorder="1" applyFont="1">
      <alignment horizontal="center" readingOrder="0" shrinkToFit="0" vertical="top" wrapText="0"/>
    </xf>
    <xf borderId="0" fillId="0" fontId="5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4" max="4" width="15.63"/>
    <col customWidth="1" min="8" max="8" width="14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>
        <v>204.0</v>
      </c>
      <c r="B2" s="5"/>
      <c r="C2" s="6">
        <v>301.0</v>
      </c>
      <c r="D2" s="7"/>
      <c r="E2" s="6">
        <v>404.0</v>
      </c>
      <c r="F2" s="7"/>
      <c r="G2" s="6">
        <v>502.0</v>
      </c>
      <c r="H2" s="7"/>
      <c r="I2" s="6">
        <v>504.0</v>
      </c>
      <c r="J2" s="7"/>
      <c r="K2" s="6">
        <v>602.0</v>
      </c>
      <c r="L2" s="8"/>
      <c r="M2" s="6">
        <v>702.0</v>
      </c>
      <c r="N2" s="9"/>
      <c r="O2" s="10"/>
    </row>
    <row r="3">
      <c r="A3" s="11">
        <f>(927.32)/2*1</f>
        <v>463.66</v>
      </c>
      <c r="B3" s="12"/>
      <c r="C3" s="13">
        <v>443.29</v>
      </c>
      <c r="D3" s="10"/>
      <c r="E3" s="14">
        <f>(758.97)/2*1</f>
        <v>379.485</v>
      </c>
      <c r="F3" s="9"/>
      <c r="G3" s="15">
        <v>284.61</v>
      </c>
      <c r="H3" s="9"/>
      <c r="I3" s="14">
        <f> 2884.21-( 2884.21*16%)</f>
        <v>2422.7364</v>
      </c>
      <c r="J3" s="10"/>
      <c r="K3" s="15">
        <f>(948.72)/2*1</f>
        <v>474.36</v>
      </c>
      <c r="L3" s="16"/>
      <c r="M3" s="15">
        <f>( 715.64)/2*1</f>
        <v>357.82</v>
      </c>
      <c r="N3" s="9"/>
      <c r="O3" s="16"/>
    </row>
    <row r="4">
      <c r="A4" s="17">
        <f>280-(280*10%)</f>
        <v>252</v>
      </c>
      <c r="B4" s="12"/>
      <c r="C4" s="13">
        <v>220.55</v>
      </c>
      <c r="D4" s="10"/>
      <c r="E4" s="15">
        <v>312.42</v>
      </c>
      <c r="F4" s="9"/>
      <c r="G4" s="15">
        <v>322.25</v>
      </c>
      <c r="H4" s="9"/>
      <c r="I4" s="14">
        <f>  3472.44-(  3472.44*16%)</f>
        <v>2916.8496</v>
      </c>
      <c r="J4" s="9"/>
      <c r="K4" s="14">
        <f> 726.19-( 726.19*16%)</f>
        <v>609.9996</v>
      </c>
      <c r="L4" s="9"/>
      <c r="M4" s="15">
        <v>233.91</v>
      </c>
      <c r="N4" s="9"/>
      <c r="O4" s="16"/>
    </row>
    <row r="5">
      <c r="A5" s="11">
        <f> 276-( 276*16%)</f>
        <v>231.84</v>
      </c>
      <c r="C5" s="13">
        <v>266.56</v>
      </c>
      <c r="D5" s="10"/>
      <c r="E5" s="15">
        <v>227.36</v>
      </c>
      <c r="F5" s="9"/>
      <c r="G5" s="18">
        <f> 840-( 840*10%)</f>
        <v>756</v>
      </c>
      <c r="H5" s="9"/>
      <c r="I5" s="15">
        <v>237.19</v>
      </c>
      <c r="J5" s="9"/>
      <c r="K5" s="15">
        <v>284.61</v>
      </c>
      <c r="L5" s="9"/>
      <c r="M5" s="15">
        <v>749.17</v>
      </c>
      <c r="N5" s="9"/>
      <c r="O5" s="16"/>
    </row>
    <row r="6">
      <c r="A6" s="11">
        <f> 2070-( 2070*16%)</f>
        <v>1738.8</v>
      </c>
      <c r="B6" s="19"/>
      <c r="C6" s="13">
        <v>230.06</v>
      </c>
      <c r="D6" s="10"/>
      <c r="E6" s="15">
        <v>322.25</v>
      </c>
      <c r="F6" s="9"/>
      <c r="G6" s="15">
        <v>257.05</v>
      </c>
      <c r="H6" s="9"/>
      <c r="I6" s="15">
        <v>237.19</v>
      </c>
      <c r="J6" s="9"/>
      <c r="K6" s="15">
        <v>299.34</v>
      </c>
      <c r="L6" s="9"/>
      <c r="M6" s="14">
        <f>340.4-(340.4*16%)</f>
        <v>285.936</v>
      </c>
      <c r="N6" s="9"/>
      <c r="O6" s="16"/>
    </row>
    <row r="7">
      <c r="A7" s="17">
        <f>  2850-(  2850*10%)</f>
        <v>2565</v>
      </c>
      <c r="B7" s="19"/>
      <c r="C7" s="13">
        <v>1305.32</v>
      </c>
      <c r="D7" s="10"/>
      <c r="E7" s="15">
        <v>274.81</v>
      </c>
      <c r="F7" s="10"/>
      <c r="G7" s="15">
        <v>237.19</v>
      </c>
      <c r="H7" s="9"/>
      <c r="I7" s="15">
        <v>227.36</v>
      </c>
      <c r="J7" s="9"/>
      <c r="K7" s="15">
        <v>1481.16</v>
      </c>
      <c r="L7" s="9"/>
      <c r="M7" s="15">
        <v>552.88</v>
      </c>
      <c r="N7" s="9"/>
      <c r="O7" s="16"/>
    </row>
    <row r="8">
      <c r="A8" s="19">
        <v>0.0</v>
      </c>
      <c r="B8" s="9"/>
      <c r="C8" s="13">
        <v>257.05</v>
      </c>
      <c r="D8" s="10"/>
      <c r="E8" s="14">
        <f>316.25-(316.25*16%)</f>
        <v>265.65</v>
      </c>
      <c r="F8" s="9"/>
      <c r="G8" s="14">
        <f>256.56-(256.56*16%)</f>
        <v>215.5104</v>
      </c>
      <c r="H8" s="9"/>
      <c r="I8" s="15">
        <v>246.18</v>
      </c>
      <c r="J8" s="10"/>
      <c r="K8" s="15">
        <v>256.0</v>
      </c>
      <c r="L8" s="9"/>
      <c r="M8" s="15">
        <v>273.98</v>
      </c>
      <c r="N8" s="9"/>
      <c r="O8" s="16"/>
    </row>
    <row r="9">
      <c r="A9" s="19">
        <v>0.0</v>
      </c>
      <c r="B9" s="12"/>
      <c r="C9" s="13">
        <v>274.81</v>
      </c>
      <c r="D9" s="10"/>
      <c r="E9" s="15">
        <v>265.0</v>
      </c>
      <c r="F9" s="9"/>
      <c r="G9" s="15">
        <v>256.0</v>
      </c>
      <c r="H9" s="9"/>
      <c r="I9" s="15">
        <v>217.56</v>
      </c>
      <c r="J9" s="9"/>
      <c r="K9" s="15">
        <v>237.19</v>
      </c>
      <c r="L9" s="9"/>
      <c r="M9" s="15">
        <v>265.0</v>
      </c>
      <c r="N9" s="9"/>
      <c r="O9" s="16"/>
    </row>
    <row r="10">
      <c r="A10" s="19">
        <v>0.0</v>
      </c>
      <c r="B10" s="12"/>
      <c r="C10" s="13">
        <v>211.03</v>
      </c>
      <c r="D10" s="10"/>
      <c r="E10" s="14">
        <f> 1050-( 1050*16%)</f>
        <v>882</v>
      </c>
      <c r="F10" s="9"/>
      <c r="G10" s="15">
        <v>265.0</v>
      </c>
      <c r="H10" s="9"/>
      <c r="I10" s="15">
        <v>1051.79</v>
      </c>
      <c r="J10" s="9"/>
      <c r="K10" s="14">
        <f>567.53-(567.53*16%)</f>
        <v>476.7252</v>
      </c>
      <c r="L10" s="9"/>
      <c r="M10" s="15">
        <v>257.63</v>
      </c>
      <c r="N10" s="9"/>
      <c r="O10" s="16"/>
    </row>
    <row r="11">
      <c r="A11" s="19">
        <v>0.0</v>
      </c>
      <c r="B11" s="12"/>
      <c r="C11" s="13">
        <v>230.06</v>
      </c>
      <c r="D11" s="10"/>
      <c r="E11" s="15">
        <v>217.56</v>
      </c>
      <c r="F11" s="9"/>
      <c r="G11" s="14">
        <f>391.54-(391.54*16%)</f>
        <v>328.8936</v>
      </c>
      <c r="H11" s="9"/>
      <c r="I11" s="15">
        <v>359.87</v>
      </c>
      <c r="J11" s="9"/>
      <c r="K11" s="14">
        <f> 1187.15-( 1187.15*16%)</f>
        <v>997.206</v>
      </c>
      <c r="L11" s="9"/>
      <c r="M11" s="15">
        <v>750.8</v>
      </c>
      <c r="N11" s="9"/>
      <c r="O11" s="16"/>
    </row>
    <row r="12">
      <c r="A12" s="19">
        <v>0.0</v>
      </c>
      <c r="B12" s="12"/>
      <c r="C12" s="11">
        <f>578.34-(578.34*16%)</f>
        <v>485.8056</v>
      </c>
      <c r="D12" s="10"/>
      <c r="E12" s="15">
        <v>246.18</v>
      </c>
      <c r="F12" s="9"/>
      <c r="G12" s="18">
        <f>700-(700*10%)</f>
        <v>630</v>
      </c>
      <c r="H12" s="9"/>
      <c r="I12" s="15">
        <v>248.32</v>
      </c>
      <c r="J12" s="9"/>
      <c r="K12" s="15">
        <v>246.18</v>
      </c>
      <c r="L12" s="9"/>
      <c r="M12" s="15">
        <v>217.56</v>
      </c>
      <c r="N12" s="9"/>
      <c r="O12" s="16"/>
    </row>
    <row r="13">
      <c r="A13" s="19">
        <v>0.0</v>
      </c>
      <c r="B13" s="10"/>
      <c r="C13" s="17">
        <f>1180-(1180*10%)</f>
        <v>1062</v>
      </c>
      <c r="D13" s="10"/>
      <c r="E13" s="15">
        <v>217.56</v>
      </c>
      <c r="F13" s="9"/>
      <c r="G13" s="18">
        <f> 250-( 250*10%)</f>
        <v>225</v>
      </c>
      <c r="H13" s="9"/>
      <c r="I13" s="16">
        <v>-215.52</v>
      </c>
      <c r="J13" s="10" t="s">
        <v>1</v>
      </c>
      <c r="K13" s="15">
        <v>568.42</v>
      </c>
      <c r="L13" s="9"/>
      <c r="M13" s="15">
        <v>217.56</v>
      </c>
      <c r="N13" s="9"/>
      <c r="O13" s="16"/>
    </row>
    <row r="14">
      <c r="A14" s="19">
        <v>0.0</v>
      </c>
      <c r="B14" s="12"/>
      <c r="C14" s="13">
        <v>332.06</v>
      </c>
      <c r="D14" s="10"/>
      <c r="E14" s="15">
        <v>227.36</v>
      </c>
      <c r="F14" s="9"/>
      <c r="G14" s="14">
        <f> 1998.92-( 1998.92*16%)</f>
        <v>1679.0928</v>
      </c>
      <c r="H14" s="9"/>
      <c r="I14" s="16">
        <v>0.0</v>
      </c>
      <c r="J14" s="9"/>
      <c r="K14" s="16">
        <v>0.0</v>
      </c>
      <c r="L14" s="9"/>
      <c r="M14" s="15">
        <v>235.54</v>
      </c>
      <c r="N14" s="9"/>
      <c r="O14" s="16"/>
    </row>
    <row r="15">
      <c r="A15" s="19">
        <v>0.0</v>
      </c>
      <c r="B15" s="12"/>
      <c r="C15" s="13">
        <v>230.06</v>
      </c>
      <c r="D15" s="10"/>
      <c r="E15" s="14">
        <f> 1785.55-( 1785.55*16%)</f>
        <v>1499.862</v>
      </c>
      <c r="F15" s="9"/>
      <c r="G15" s="15">
        <v>246.18</v>
      </c>
      <c r="H15" s="9"/>
      <c r="I15" s="16">
        <v>0.0</v>
      </c>
      <c r="J15" s="9"/>
      <c r="K15" s="16">
        <v>0.0</v>
      </c>
      <c r="L15" s="9"/>
      <c r="M15" s="15">
        <v>217.56</v>
      </c>
      <c r="N15" s="9"/>
      <c r="O15" s="16"/>
    </row>
    <row r="16">
      <c r="A16" s="19">
        <v>0.0</v>
      </c>
      <c r="B16" s="12"/>
      <c r="C16" s="13">
        <v>238.79</v>
      </c>
      <c r="D16" s="10"/>
      <c r="E16" s="15">
        <v>256.0</v>
      </c>
      <c r="F16" s="9"/>
      <c r="G16" s="15"/>
      <c r="H16" s="9"/>
      <c r="I16" s="16">
        <v>0.0</v>
      </c>
      <c r="J16" s="9"/>
      <c r="K16" s="16">
        <v>0.0</v>
      </c>
      <c r="L16" s="9"/>
      <c r="M16" s="15">
        <v>246.18</v>
      </c>
      <c r="N16" s="9"/>
      <c r="O16" s="16"/>
    </row>
    <row r="17">
      <c r="A17" s="19">
        <v>0.0</v>
      </c>
      <c r="B17" s="12"/>
      <c r="C17" s="17">
        <f>300-(300*10%)</f>
        <v>270</v>
      </c>
      <c r="D17" s="10"/>
      <c r="E17" s="16">
        <v>-215.52</v>
      </c>
      <c r="F17" s="20" t="s">
        <v>1</v>
      </c>
      <c r="G17" s="16">
        <v>0.0</v>
      </c>
      <c r="H17" s="9"/>
      <c r="I17" s="16">
        <v>0.0</v>
      </c>
      <c r="J17" s="9"/>
      <c r="K17" s="16">
        <v>0.0</v>
      </c>
      <c r="L17" s="9"/>
      <c r="M17" s="15">
        <v>1051.79</v>
      </c>
      <c r="N17" s="9"/>
      <c r="O17" s="16"/>
    </row>
    <row r="18">
      <c r="A18" s="19">
        <v>0.0</v>
      </c>
      <c r="B18" s="9"/>
      <c r="C18" s="19">
        <v>0.0</v>
      </c>
      <c r="D18" s="20"/>
      <c r="E18" s="16">
        <v>0.0</v>
      </c>
      <c r="F18" s="9"/>
      <c r="G18" s="16">
        <v>0.0</v>
      </c>
      <c r="H18" s="9"/>
      <c r="I18" s="16">
        <v>0.0</v>
      </c>
      <c r="J18" s="9"/>
      <c r="K18" s="16">
        <v>0.0</v>
      </c>
      <c r="L18" s="9"/>
      <c r="M18" s="14">
        <f> 652.05-( 652.05*16%)</f>
        <v>547.722</v>
      </c>
      <c r="N18" s="9"/>
      <c r="O18" s="16"/>
    </row>
    <row r="19">
      <c r="A19" s="19">
        <v>0.0</v>
      </c>
      <c r="B19" s="12"/>
      <c r="C19" s="19">
        <v>0.0</v>
      </c>
      <c r="D19" s="10"/>
      <c r="E19" s="16">
        <v>0.0</v>
      </c>
      <c r="F19" s="9"/>
      <c r="G19" s="16">
        <v>0.0</v>
      </c>
      <c r="H19" s="9"/>
      <c r="I19" s="16">
        <v>0.0</v>
      </c>
      <c r="J19" s="9"/>
      <c r="K19" s="16">
        <v>0.0</v>
      </c>
      <c r="L19" s="9"/>
      <c r="M19" s="16">
        <v>0.0</v>
      </c>
      <c r="N19" s="9"/>
      <c r="O19" s="16"/>
    </row>
    <row r="20">
      <c r="A20" s="19">
        <v>0.0</v>
      </c>
      <c r="B20" s="12"/>
      <c r="C20" s="19">
        <v>0.0</v>
      </c>
      <c r="D20" s="10"/>
      <c r="E20" s="16">
        <v>0.0</v>
      </c>
      <c r="F20" s="9"/>
      <c r="G20" s="16">
        <v>0.0</v>
      </c>
      <c r="H20" s="9"/>
      <c r="I20" s="16">
        <v>0.0</v>
      </c>
      <c r="J20" s="9"/>
      <c r="K20" s="16">
        <v>0.0</v>
      </c>
      <c r="L20" s="9"/>
      <c r="M20" s="16">
        <v>0.0</v>
      </c>
      <c r="N20" s="9"/>
      <c r="O20" s="16"/>
    </row>
    <row r="21">
      <c r="A21" s="19">
        <v>0.0</v>
      </c>
      <c r="B21" s="12"/>
      <c r="C21" s="19">
        <v>0.0</v>
      </c>
      <c r="D21" s="10"/>
      <c r="E21" s="16">
        <v>0.0</v>
      </c>
      <c r="F21" s="9"/>
      <c r="G21" s="16">
        <v>0.0</v>
      </c>
      <c r="H21" s="9"/>
      <c r="I21" s="16">
        <v>0.0</v>
      </c>
      <c r="J21" s="9"/>
      <c r="K21" s="16">
        <v>0.0</v>
      </c>
      <c r="L21" s="9"/>
      <c r="M21" s="16">
        <v>0.0</v>
      </c>
      <c r="N21" s="9"/>
      <c r="O21" s="16"/>
    </row>
    <row r="22">
      <c r="A22" s="19">
        <v>0.0</v>
      </c>
      <c r="B22" s="9"/>
      <c r="C22" s="19">
        <v>0.0</v>
      </c>
      <c r="D22" s="10"/>
      <c r="E22" s="16">
        <v>0.0</v>
      </c>
      <c r="F22" s="9"/>
      <c r="G22" s="16">
        <v>0.0</v>
      </c>
      <c r="H22" s="9"/>
      <c r="I22" s="16">
        <v>0.0</v>
      </c>
      <c r="J22" s="9"/>
      <c r="K22" s="16">
        <v>0.0</v>
      </c>
      <c r="L22" s="9"/>
      <c r="M22" s="16">
        <v>0.0</v>
      </c>
      <c r="N22" s="9"/>
      <c r="O22" s="16"/>
    </row>
    <row r="23">
      <c r="A23" s="19">
        <v>0.0</v>
      </c>
      <c r="B23" s="9"/>
      <c r="C23" s="19">
        <v>0.0</v>
      </c>
      <c r="D23" s="10"/>
      <c r="E23" s="16">
        <v>0.0</v>
      </c>
      <c r="F23" s="9"/>
      <c r="G23" s="16">
        <v>0.0</v>
      </c>
      <c r="H23" s="10"/>
      <c r="I23" s="16">
        <v>0.0</v>
      </c>
      <c r="J23" s="9"/>
      <c r="K23" s="16">
        <v>0.0</v>
      </c>
      <c r="L23" s="9"/>
      <c r="M23" s="16">
        <v>0.0</v>
      </c>
      <c r="N23" s="9"/>
      <c r="O23" s="16"/>
    </row>
    <row r="24">
      <c r="A24" s="19">
        <v>0.0</v>
      </c>
      <c r="B24" s="9"/>
      <c r="C24" s="19">
        <v>0.0</v>
      </c>
      <c r="D24" s="19"/>
      <c r="E24" s="16">
        <v>0.0</v>
      </c>
      <c r="F24" s="9"/>
      <c r="G24" s="16">
        <v>0.0</v>
      </c>
      <c r="H24" s="9"/>
      <c r="I24" s="16">
        <v>0.0</v>
      </c>
      <c r="J24" s="9"/>
      <c r="K24" s="16">
        <v>0.0</v>
      </c>
      <c r="L24" s="9"/>
      <c r="M24" s="16">
        <v>0.0</v>
      </c>
      <c r="N24" s="9"/>
      <c r="O24" s="16"/>
    </row>
    <row r="25">
      <c r="A25" s="19">
        <v>0.0</v>
      </c>
      <c r="B25" s="9"/>
      <c r="C25" s="19">
        <v>0.0</v>
      </c>
      <c r="D25" s="19"/>
      <c r="E25" s="16">
        <v>0.0</v>
      </c>
      <c r="F25" s="9"/>
      <c r="G25" s="16">
        <v>0.0</v>
      </c>
      <c r="H25" s="9"/>
      <c r="I25" s="16">
        <v>0.0</v>
      </c>
      <c r="J25" s="10"/>
      <c r="K25" s="16">
        <v>0.0</v>
      </c>
      <c r="L25" s="9"/>
      <c r="M25" s="16">
        <v>0.0</v>
      </c>
      <c r="N25" s="9"/>
      <c r="O25" s="16"/>
    </row>
    <row r="26">
      <c r="A26" s="19">
        <v>0.0</v>
      </c>
      <c r="B26" s="9"/>
      <c r="C26" s="19">
        <v>0.0</v>
      </c>
      <c r="D26" s="19"/>
      <c r="E26" s="16">
        <v>0.0</v>
      </c>
      <c r="F26" s="9"/>
      <c r="G26" s="16">
        <v>0.0</v>
      </c>
      <c r="H26" s="9"/>
      <c r="I26" s="16">
        <v>0.0</v>
      </c>
      <c r="J26" s="9"/>
      <c r="K26" s="16">
        <v>0.0</v>
      </c>
      <c r="L26" s="9"/>
      <c r="M26" s="16">
        <v>0.0</v>
      </c>
      <c r="N26" s="9"/>
      <c r="O26" s="16"/>
    </row>
    <row r="27">
      <c r="A27" s="19">
        <v>0.0</v>
      </c>
      <c r="B27" s="9"/>
      <c r="C27" s="19">
        <v>0.0</v>
      </c>
      <c r="D27" s="19"/>
      <c r="E27" s="16">
        <v>0.0</v>
      </c>
      <c r="F27" s="9"/>
      <c r="G27" s="16">
        <v>0.0</v>
      </c>
      <c r="H27" s="9"/>
      <c r="I27" s="16">
        <v>0.0</v>
      </c>
      <c r="J27" s="9"/>
      <c r="K27" s="16">
        <v>0.0</v>
      </c>
      <c r="L27" s="9"/>
      <c r="M27" s="16">
        <v>0.0</v>
      </c>
      <c r="N27" s="9"/>
      <c r="O27" s="16"/>
    </row>
    <row r="28">
      <c r="A28" s="19">
        <v>0.0</v>
      </c>
      <c r="B28" s="9"/>
      <c r="C28" s="19">
        <v>0.0</v>
      </c>
      <c r="D28" s="9"/>
      <c r="E28" s="16">
        <v>0.0</v>
      </c>
      <c r="F28" s="9"/>
      <c r="G28" s="16">
        <v>0.0</v>
      </c>
      <c r="H28" s="9"/>
      <c r="I28" s="16">
        <v>0.0</v>
      </c>
      <c r="J28" s="9"/>
      <c r="K28" s="16">
        <v>0.0</v>
      </c>
      <c r="L28" s="9"/>
      <c r="M28" s="16">
        <v>0.0</v>
      </c>
      <c r="N28" s="9"/>
      <c r="O28" s="16"/>
    </row>
    <row r="29">
      <c r="A29" s="19">
        <v>0.0</v>
      </c>
      <c r="B29" s="9"/>
      <c r="C29" s="19">
        <v>0.0</v>
      </c>
      <c r="D29" s="9"/>
      <c r="E29" s="16">
        <v>0.0</v>
      </c>
      <c r="F29" s="9"/>
      <c r="G29" s="16">
        <v>0.0</v>
      </c>
      <c r="H29" s="9"/>
      <c r="I29" s="16">
        <v>0.0</v>
      </c>
      <c r="J29" s="9"/>
      <c r="K29" s="16">
        <v>0.0</v>
      </c>
      <c r="L29" s="9"/>
      <c r="M29" s="16">
        <v>0.0</v>
      </c>
      <c r="N29" s="9"/>
      <c r="O29" s="16"/>
    </row>
    <row r="30">
      <c r="A30" s="21">
        <f>SUM(A3:A29)</f>
        <v>5251.3</v>
      </c>
      <c r="B30" s="9"/>
      <c r="C30" s="21">
        <f>SUM(C3:C29)</f>
        <v>6057.4456</v>
      </c>
      <c r="D30" s="22"/>
      <c r="E30" s="21">
        <f>SUM(E3:E29)</f>
        <v>5377.977</v>
      </c>
      <c r="F30" s="21"/>
      <c r="G30" s="21">
        <f>SUM(G3:G29)</f>
        <v>5702.7768</v>
      </c>
      <c r="H30" s="9"/>
      <c r="I30" s="21">
        <f>SUM(I3:I29)</f>
        <v>7949.526</v>
      </c>
      <c r="J30" s="9"/>
      <c r="K30" s="21">
        <f>SUM(K3:K29)</f>
        <v>5931.1908</v>
      </c>
      <c r="L30" s="21"/>
      <c r="M30" s="21">
        <f>SUM(M3:M29)</f>
        <v>6461.038</v>
      </c>
      <c r="N30" s="9"/>
      <c r="O30" s="21"/>
    </row>
    <row r="31">
      <c r="A31" s="8" t="s">
        <v>2</v>
      </c>
      <c r="B31" s="23">
        <f>A30+C30+E30+G30+I30+K30+M30</f>
        <v>42731.2542</v>
      </c>
    </row>
    <row r="32">
      <c r="A32" s="24">
        <f>(A30-2278.57)*15%</f>
        <v>445.9095</v>
      </c>
      <c r="B32" s="24"/>
      <c r="C32" s="24">
        <f>(C30-2343.69)*15%</f>
        <v>557.06334</v>
      </c>
      <c r="D32" s="24"/>
      <c r="E32" s="24">
        <f>(E30-2267.61)*15%</f>
        <v>466.55505</v>
      </c>
      <c r="F32" s="24"/>
      <c r="G32" s="24">
        <f>(G30-2366.6)*15%</f>
        <v>500.42652</v>
      </c>
      <c r="H32" s="24"/>
      <c r="I32" s="24">
        <f>(I30-2345.72)*15%</f>
        <v>840.5709</v>
      </c>
      <c r="J32" s="24"/>
      <c r="K32" s="24">
        <f>(K30-2283.06)*15%</f>
        <v>547.21962</v>
      </c>
      <c r="L32" s="24"/>
      <c r="M32" s="24">
        <f>(M30-2280.39)*15%</f>
        <v>627.0972</v>
      </c>
    </row>
    <row r="34">
      <c r="I34" s="19"/>
      <c r="J34" s="9"/>
    </row>
    <row r="35">
      <c r="I35" s="19"/>
      <c r="J35" s="9"/>
    </row>
    <row r="36">
      <c r="C36" s="25" t="s">
        <v>3</v>
      </c>
      <c r="D36" s="26">
        <f>B31</f>
        <v>42731.2542</v>
      </c>
      <c r="E36" s="26">
        <v>42731.2542</v>
      </c>
      <c r="I36" s="27"/>
      <c r="J36" s="19" t="s">
        <v>4</v>
      </c>
    </row>
    <row r="37">
      <c r="C37" s="25" t="s">
        <v>5</v>
      </c>
      <c r="D37" s="26">
        <f>A32+C32+E32+G32+I32+K32+M32</f>
        <v>3984.84213</v>
      </c>
      <c r="E37" s="26">
        <v>3984.84213</v>
      </c>
      <c r="I37" s="28"/>
      <c r="J37" s="19" t="s">
        <v>6</v>
      </c>
    </row>
    <row r="38">
      <c r="I38" s="29"/>
      <c r="J38" s="19" t="s">
        <v>7</v>
      </c>
    </row>
    <row r="39">
      <c r="I39" s="19"/>
      <c r="J39" s="19"/>
    </row>
  </sheetData>
  <mergeCells count="2">
    <mergeCell ref="A1:M1"/>
    <mergeCell ref="B31:M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4" max="4" width="15.63"/>
    <col customWidth="1" min="8" max="8" width="14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117.0</v>
      </c>
      <c r="B2" s="5"/>
      <c r="C2" s="6">
        <v>217.0</v>
      </c>
      <c r="D2" s="7"/>
      <c r="E2" s="6">
        <v>218.0</v>
      </c>
      <c r="F2" s="30"/>
      <c r="G2" s="30"/>
      <c r="H2" s="31"/>
      <c r="I2" s="30"/>
      <c r="J2" s="31"/>
      <c r="K2" s="30"/>
      <c r="L2" s="9"/>
      <c r="M2" s="10"/>
      <c r="N2" s="9"/>
      <c r="O2" s="10"/>
    </row>
    <row r="3">
      <c r="A3" s="11">
        <f> 320.85-( 320.85*13%)</f>
        <v>279.1395</v>
      </c>
      <c r="B3" s="32"/>
      <c r="C3" s="13">
        <v>644.48</v>
      </c>
      <c r="D3" s="9"/>
      <c r="E3" s="15">
        <v>282.98</v>
      </c>
      <c r="F3" s="9"/>
      <c r="G3" s="16"/>
      <c r="H3" s="9"/>
      <c r="I3" s="16"/>
      <c r="J3" s="9"/>
      <c r="K3" s="16"/>
      <c r="L3" s="9"/>
      <c r="M3" s="16"/>
      <c r="N3" s="9"/>
      <c r="O3" s="16"/>
    </row>
    <row r="4">
      <c r="A4" s="17">
        <f> 600-( 600*10%)</f>
        <v>540</v>
      </c>
      <c r="B4" s="12"/>
      <c r="C4" s="17">
        <f> 300-( 300*10%)</f>
        <v>270</v>
      </c>
      <c r="D4" s="9"/>
      <c r="E4" s="18">
        <f> 2490.87-( 2490.87*10%)</f>
        <v>2241.783</v>
      </c>
      <c r="F4" s="9"/>
      <c r="G4" s="16"/>
      <c r="H4" s="9"/>
      <c r="I4" s="16"/>
      <c r="J4" s="9"/>
      <c r="K4" s="16"/>
      <c r="L4" s="9"/>
      <c r="M4" s="16"/>
      <c r="N4" s="9"/>
      <c r="O4" s="16"/>
    </row>
    <row r="5">
      <c r="A5" s="11">
        <f> 224.6-( 224.6*13%)</f>
        <v>195.402</v>
      </c>
      <c r="B5" s="12"/>
      <c r="C5" s="13">
        <v>198.75</v>
      </c>
      <c r="D5" s="9"/>
      <c r="E5" s="14">
        <f> 887.68-( 887.68*13%)</f>
        <v>772.2816</v>
      </c>
      <c r="F5" s="9"/>
      <c r="G5" s="16"/>
      <c r="H5" s="9"/>
      <c r="I5" s="16"/>
      <c r="J5" s="9"/>
      <c r="K5" s="16"/>
      <c r="L5" s="9"/>
      <c r="M5" s="16"/>
      <c r="N5" s="9"/>
      <c r="O5" s="16"/>
    </row>
    <row r="6">
      <c r="A6" s="13">
        <v>388.49</v>
      </c>
      <c r="B6" s="19"/>
      <c r="C6" s="11">
        <f>2568.94-(2568.94*13%)</f>
        <v>2234.9778</v>
      </c>
      <c r="D6" s="9"/>
      <c r="E6" s="15">
        <v>548.79</v>
      </c>
      <c r="F6" s="9"/>
      <c r="G6" s="16"/>
      <c r="H6" s="9"/>
      <c r="I6" s="16"/>
      <c r="J6" s="9"/>
      <c r="K6" s="16"/>
      <c r="L6" s="9"/>
      <c r="M6" s="16"/>
      <c r="N6" s="9"/>
      <c r="O6" s="16"/>
    </row>
    <row r="7">
      <c r="A7" s="13">
        <v>198.75</v>
      </c>
      <c r="B7" s="19"/>
      <c r="C7" s="11">
        <f>651.33-(651.33*13%)</f>
        <v>566.6571</v>
      </c>
      <c r="D7" s="9"/>
      <c r="E7" s="14">
        <f> 529.41-( 529.41*13%)</f>
        <v>460.5867</v>
      </c>
      <c r="F7" s="9"/>
      <c r="G7" s="16"/>
      <c r="H7" s="9"/>
      <c r="I7" s="16"/>
      <c r="J7" s="9"/>
      <c r="K7" s="16"/>
      <c r="L7" s="9"/>
      <c r="M7" s="16"/>
      <c r="N7" s="9"/>
      <c r="O7" s="16"/>
    </row>
    <row r="8">
      <c r="A8" s="17">
        <f>440-(440*10%)</f>
        <v>396</v>
      </c>
      <c r="B8" s="9"/>
      <c r="C8" s="17">
        <f>440-(440*10%)</f>
        <v>396</v>
      </c>
      <c r="D8" s="9"/>
      <c r="E8" s="15">
        <v>198.75</v>
      </c>
      <c r="F8" s="9"/>
      <c r="G8" s="16"/>
      <c r="H8" s="9"/>
      <c r="I8" s="16"/>
      <c r="J8" s="9"/>
      <c r="K8" s="16"/>
      <c r="L8" s="9"/>
      <c r="M8" s="16"/>
      <c r="N8" s="9"/>
      <c r="O8" s="16"/>
    </row>
    <row r="9">
      <c r="A9" s="11">
        <f>235.29-(235.29*13%)</f>
        <v>204.7023</v>
      </c>
      <c r="B9" s="12"/>
      <c r="C9" s="11">
        <f>160.43-(160.43*13%)</f>
        <v>139.5741</v>
      </c>
      <c r="D9" s="9"/>
      <c r="E9" s="15">
        <f>(470.27)/2*1</f>
        <v>235.135</v>
      </c>
      <c r="F9" s="9"/>
      <c r="G9" s="16"/>
      <c r="H9" s="9"/>
      <c r="I9" s="16"/>
      <c r="J9" s="9"/>
      <c r="K9" s="16"/>
      <c r="L9" s="9"/>
      <c r="M9" s="16"/>
      <c r="N9" s="9"/>
      <c r="O9" s="16"/>
    </row>
    <row r="10">
      <c r="A10" s="17">
        <f t="shared" ref="A10:A12" si="1">440-(440*10%)</f>
        <v>396</v>
      </c>
      <c r="B10" s="12"/>
      <c r="C10" s="13">
        <v>246.18</v>
      </c>
      <c r="D10" s="9"/>
      <c r="E10" s="16">
        <v>0.0</v>
      </c>
      <c r="F10" s="9"/>
      <c r="G10" s="16"/>
      <c r="H10" s="9"/>
      <c r="I10" s="16"/>
      <c r="J10" s="9"/>
      <c r="K10" s="16"/>
      <c r="L10" s="9"/>
      <c r="M10" s="16"/>
      <c r="N10" s="9"/>
      <c r="O10" s="16"/>
    </row>
    <row r="11">
      <c r="A11" s="17">
        <f t="shared" si="1"/>
        <v>396</v>
      </c>
      <c r="B11" s="12"/>
      <c r="C11" s="11">
        <f>486.92-(486.92*13%)</f>
        <v>423.6204</v>
      </c>
      <c r="D11" s="9"/>
      <c r="E11" s="16">
        <v>0.0</v>
      </c>
      <c r="F11" s="9"/>
      <c r="G11" s="16"/>
      <c r="H11" s="9"/>
      <c r="I11" s="16"/>
      <c r="J11" s="9"/>
      <c r="K11" s="16"/>
      <c r="L11" s="9"/>
      <c r="M11" s="16"/>
      <c r="N11" s="9"/>
      <c r="O11" s="16"/>
    </row>
    <row r="12">
      <c r="A12" s="17">
        <f t="shared" si="1"/>
        <v>396</v>
      </c>
      <c r="B12" s="12"/>
      <c r="C12" s="17">
        <f>380-(380*10%)</f>
        <v>342</v>
      </c>
      <c r="D12" s="9"/>
      <c r="E12" s="16">
        <v>0.0</v>
      </c>
      <c r="F12" s="9"/>
      <c r="G12" s="16"/>
      <c r="H12" s="9"/>
      <c r="I12" s="16"/>
      <c r="J12" s="9"/>
      <c r="K12" s="16"/>
      <c r="L12" s="9"/>
      <c r="M12" s="16"/>
      <c r="N12" s="9"/>
      <c r="O12" s="16"/>
    </row>
    <row r="13">
      <c r="A13" s="17">
        <f> 600-( 600*10%)</f>
        <v>540</v>
      </c>
      <c r="B13" s="10"/>
      <c r="C13" s="13">
        <v>227.36</v>
      </c>
      <c r="D13" s="9"/>
      <c r="E13" s="16">
        <v>0.0</v>
      </c>
      <c r="F13" s="9"/>
      <c r="G13" s="16"/>
      <c r="H13" s="9"/>
      <c r="I13" s="16"/>
      <c r="J13" s="9"/>
      <c r="K13" s="16"/>
      <c r="L13" s="9"/>
      <c r="M13" s="16"/>
      <c r="N13" s="9"/>
      <c r="O13" s="16"/>
    </row>
    <row r="14">
      <c r="A14" s="17">
        <f>520-( 520*10%)</f>
        <v>468</v>
      </c>
      <c r="B14" s="12"/>
      <c r="C14" s="11">
        <f>203.21-(203.21*13%)</f>
        <v>176.7927</v>
      </c>
      <c r="D14" s="9"/>
      <c r="E14" s="16">
        <v>0.0</v>
      </c>
      <c r="F14" s="9"/>
      <c r="G14" s="16"/>
      <c r="H14" s="9"/>
      <c r="I14" s="16"/>
      <c r="J14" s="9"/>
      <c r="K14" s="16"/>
      <c r="L14" s="9"/>
      <c r="M14" s="16"/>
      <c r="N14" s="9"/>
      <c r="O14" s="16"/>
    </row>
    <row r="15">
      <c r="A15" s="17">
        <f>220-( 220*10%)</f>
        <v>198</v>
      </c>
      <c r="B15" s="12"/>
      <c r="C15" s="13">
        <v>189.74</v>
      </c>
      <c r="D15" s="9"/>
      <c r="E15" s="16">
        <v>0.0</v>
      </c>
      <c r="F15" s="9"/>
      <c r="G15" s="16"/>
      <c r="H15" s="9"/>
      <c r="I15" s="16"/>
      <c r="J15" s="9"/>
      <c r="K15" s="16"/>
      <c r="L15" s="9"/>
      <c r="M15" s="16"/>
      <c r="N15" s="9"/>
      <c r="O15" s="16"/>
    </row>
    <row r="16">
      <c r="A16" s="33">
        <v>0.0</v>
      </c>
      <c r="B16" s="12"/>
      <c r="C16" s="33">
        <v>0.0</v>
      </c>
      <c r="D16" s="9"/>
      <c r="E16" s="16">
        <v>0.0</v>
      </c>
      <c r="F16" s="9"/>
      <c r="G16" s="16"/>
      <c r="H16" s="9"/>
      <c r="I16" s="16"/>
      <c r="J16" s="9"/>
      <c r="K16" s="16"/>
      <c r="L16" s="9"/>
      <c r="M16" s="16"/>
      <c r="N16" s="9"/>
      <c r="O16" s="16"/>
    </row>
    <row r="17">
      <c r="A17" s="33">
        <v>0.0</v>
      </c>
      <c r="B17" s="12"/>
      <c r="C17" s="33">
        <v>0.0</v>
      </c>
      <c r="D17" s="9"/>
      <c r="E17" s="16">
        <v>0.0</v>
      </c>
      <c r="F17" s="9"/>
      <c r="G17" s="16"/>
      <c r="H17" s="9"/>
      <c r="I17" s="16"/>
      <c r="J17" s="9"/>
      <c r="K17" s="16"/>
      <c r="L17" s="9"/>
      <c r="M17" s="16"/>
      <c r="N17" s="9"/>
      <c r="O17" s="16"/>
    </row>
    <row r="18">
      <c r="A18" s="33">
        <v>0.0</v>
      </c>
      <c r="B18" s="9"/>
      <c r="C18" s="33">
        <v>0.0</v>
      </c>
      <c r="D18" s="9"/>
      <c r="E18" s="16">
        <v>0.0</v>
      </c>
      <c r="F18" s="9"/>
      <c r="G18" s="16"/>
      <c r="H18" s="9"/>
      <c r="I18" s="16"/>
      <c r="J18" s="9"/>
      <c r="K18" s="16"/>
      <c r="L18" s="9"/>
      <c r="M18" s="16"/>
      <c r="N18" s="9"/>
      <c r="O18" s="16"/>
    </row>
    <row r="19">
      <c r="A19" s="33">
        <v>0.0</v>
      </c>
      <c r="B19" s="12"/>
      <c r="C19" s="33">
        <v>0.0</v>
      </c>
      <c r="D19" s="9"/>
      <c r="E19" s="16">
        <v>0.0</v>
      </c>
      <c r="F19" s="9"/>
      <c r="G19" s="16"/>
      <c r="H19" s="9"/>
      <c r="I19" s="16"/>
      <c r="J19" s="9"/>
      <c r="K19" s="16"/>
      <c r="L19" s="9"/>
      <c r="M19" s="16"/>
      <c r="N19" s="9"/>
      <c r="O19" s="16"/>
    </row>
    <row r="20">
      <c r="A20" s="33">
        <v>0.0</v>
      </c>
      <c r="B20" s="12"/>
      <c r="C20" s="33">
        <v>0.0</v>
      </c>
      <c r="D20" s="10"/>
      <c r="E20" s="16">
        <v>0.0</v>
      </c>
      <c r="F20" s="9"/>
      <c r="G20" s="16"/>
      <c r="H20" s="19"/>
      <c r="I20" s="9"/>
      <c r="J20" s="9"/>
      <c r="K20" s="16"/>
      <c r="L20" s="9"/>
      <c r="M20" s="16"/>
      <c r="N20" s="9"/>
      <c r="O20" s="16"/>
    </row>
    <row r="21">
      <c r="A21" s="33">
        <v>0.0</v>
      </c>
      <c r="B21" s="12"/>
      <c r="C21" s="33">
        <v>0.0</v>
      </c>
      <c r="D21" s="9"/>
      <c r="E21" s="16">
        <v>0.0</v>
      </c>
      <c r="F21" s="9"/>
      <c r="G21" s="16"/>
      <c r="H21" s="19"/>
      <c r="I21" s="9"/>
      <c r="J21" s="9"/>
      <c r="K21" s="16"/>
      <c r="L21" s="9"/>
      <c r="M21" s="16"/>
      <c r="N21" s="9"/>
      <c r="O21" s="16"/>
    </row>
    <row r="22">
      <c r="A22" s="33">
        <v>0.0</v>
      </c>
      <c r="B22" s="9"/>
      <c r="C22" s="33">
        <v>0.0</v>
      </c>
      <c r="D22" s="9"/>
      <c r="E22" s="16">
        <v>0.0</v>
      </c>
      <c r="F22" s="9"/>
      <c r="G22" s="16"/>
      <c r="H22" s="27"/>
      <c r="I22" s="19" t="s">
        <v>4</v>
      </c>
      <c r="J22" s="9"/>
      <c r="K22" s="16"/>
      <c r="L22" s="9"/>
      <c r="M22" s="16"/>
      <c r="N22" s="9"/>
      <c r="O22" s="16"/>
    </row>
    <row r="23">
      <c r="A23" s="33">
        <v>0.0</v>
      </c>
      <c r="B23" s="9"/>
      <c r="C23" s="33">
        <v>0.0</v>
      </c>
      <c r="D23" s="9"/>
      <c r="E23" s="16">
        <v>0.0</v>
      </c>
      <c r="F23" s="9"/>
      <c r="G23" s="16"/>
      <c r="H23" s="28"/>
      <c r="I23" s="19" t="s">
        <v>6</v>
      </c>
      <c r="J23" s="9"/>
      <c r="K23" s="16"/>
      <c r="L23" s="9"/>
      <c r="M23" s="16"/>
      <c r="N23" s="9"/>
      <c r="O23" s="16"/>
    </row>
    <row r="24">
      <c r="A24" s="33">
        <v>0.0</v>
      </c>
      <c r="B24" s="9"/>
      <c r="C24" s="33">
        <v>0.0</v>
      </c>
      <c r="D24" s="9"/>
      <c r="E24" s="16">
        <v>0.0</v>
      </c>
      <c r="F24" s="9"/>
      <c r="G24" s="16"/>
      <c r="H24" s="29"/>
      <c r="I24" s="19" t="s">
        <v>7</v>
      </c>
      <c r="J24" s="9"/>
      <c r="K24" s="16"/>
      <c r="L24" s="9"/>
      <c r="M24" s="16"/>
      <c r="N24" s="9"/>
      <c r="O24" s="16"/>
    </row>
    <row r="25">
      <c r="A25" s="33">
        <v>0.0</v>
      </c>
      <c r="B25" s="9"/>
      <c r="C25" s="33">
        <v>0.0</v>
      </c>
      <c r="D25" s="9"/>
      <c r="E25" s="16">
        <v>0.0</v>
      </c>
      <c r="F25" s="9"/>
      <c r="G25" s="16"/>
      <c r="H25" s="19"/>
      <c r="I25" s="19"/>
      <c r="J25" s="9"/>
      <c r="K25" s="16"/>
      <c r="L25" s="9"/>
      <c r="M25" s="16"/>
      <c r="N25" s="9"/>
      <c r="O25" s="16"/>
    </row>
    <row r="26">
      <c r="A26" s="33">
        <v>0.0</v>
      </c>
      <c r="B26" s="9"/>
      <c r="C26" s="33">
        <v>0.0</v>
      </c>
      <c r="D26" s="9"/>
      <c r="E26" s="16">
        <v>0.0</v>
      </c>
      <c r="F26" s="9"/>
      <c r="G26" s="16"/>
      <c r="H26" s="9"/>
      <c r="I26" s="16"/>
      <c r="J26" s="9"/>
      <c r="K26" s="16"/>
      <c r="L26" s="9"/>
      <c r="M26" s="16"/>
      <c r="N26" s="9"/>
      <c r="O26" s="16"/>
    </row>
    <row r="27">
      <c r="A27" s="33">
        <v>0.0</v>
      </c>
      <c r="B27" s="9"/>
      <c r="C27" s="33">
        <v>0.0</v>
      </c>
      <c r="D27" s="9"/>
      <c r="E27" s="16">
        <v>0.0</v>
      </c>
      <c r="F27" s="9"/>
      <c r="G27" s="16"/>
      <c r="H27" s="9"/>
      <c r="I27" s="16"/>
      <c r="J27" s="9"/>
      <c r="K27" s="16"/>
      <c r="L27" s="9"/>
      <c r="M27" s="16"/>
      <c r="N27" s="9"/>
      <c r="O27" s="16"/>
    </row>
    <row r="28">
      <c r="A28" s="33">
        <v>0.0</v>
      </c>
      <c r="B28" s="9"/>
      <c r="C28" s="33">
        <v>0.0</v>
      </c>
      <c r="D28" s="9"/>
      <c r="E28" s="16">
        <v>0.0</v>
      </c>
      <c r="F28" s="9"/>
      <c r="G28" s="16"/>
      <c r="H28" s="9"/>
      <c r="I28" s="16"/>
      <c r="J28" s="9"/>
      <c r="K28" s="16"/>
      <c r="L28" s="9"/>
      <c r="M28" s="16"/>
      <c r="N28" s="9"/>
      <c r="O28" s="16"/>
    </row>
    <row r="29">
      <c r="A29" s="33">
        <v>0.0</v>
      </c>
      <c r="B29" s="9"/>
      <c r="C29" s="33">
        <v>0.0</v>
      </c>
      <c r="D29" s="9"/>
      <c r="E29" s="16">
        <v>0.0</v>
      </c>
      <c r="F29" s="9"/>
      <c r="G29" s="16"/>
      <c r="H29" s="9"/>
      <c r="I29" s="16"/>
      <c r="J29" s="9"/>
      <c r="K29" s="16"/>
      <c r="L29" s="9"/>
      <c r="M29" s="16"/>
      <c r="N29" s="9"/>
      <c r="O29" s="16"/>
    </row>
    <row r="30">
      <c r="A30" s="34">
        <f>SUM(A3:A29)</f>
        <v>4596.4838</v>
      </c>
      <c r="B30" s="34"/>
      <c r="C30" s="34">
        <f>SUM(C3:C29)</f>
        <v>6056.1321</v>
      </c>
      <c r="D30" s="34"/>
      <c r="E30" s="34">
        <f>SUM(E3:E29)</f>
        <v>4740.3063</v>
      </c>
      <c r="F30" s="21"/>
      <c r="G30" s="21"/>
      <c r="H30" s="9"/>
      <c r="I30" s="21"/>
      <c r="J30" s="9"/>
      <c r="K30" s="21"/>
      <c r="L30" s="9"/>
      <c r="M30" s="21"/>
      <c r="N30" s="9"/>
      <c r="O30" s="21"/>
    </row>
    <row r="31">
      <c r="A31" s="8" t="s">
        <v>2</v>
      </c>
      <c r="B31" s="23">
        <f>A30+C30+E30+G30+I30+K30</f>
        <v>15392.9222</v>
      </c>
    </row>
    <row r="32">
      <c r="A32" s="24">
        <f>(A30-1681.35)*15%</f>
        <v>437.27007</v>
      </c>
      <c r="B32" s="24"/>
      <c r="C32" s="24">
        <f>(C30-1332.46)*15%</f>
        <v>708.550815</v>
      </c>
      <c r="E32" s="26">
        <f>(A30-1363.14)*15%</f>
        <v>485.00157</v>
      </c>
      <c r="G32" s="26"/>
      <c r="I32" s="26"/>
      <c r="K32" s="26"/>
    </row>
    <row r="33">
      <c r="G33" s="26"/>
    </row>
    <row r="34">
      <c r="G34" s="26"/>
      <c r="H34" s="9"/>
    </row>
    <row r="35">
      <c r="G35" s="26"/>
      <c r="H35" s="9"/>
    </row>
    <row r="36">
      <c r="C36" s="25" t="s">
        <v>3</v>
      </c>
      <c r="D36" s="26">
        <f>B31</f>
        <v>15392.9222</v>
      </c>
      <c r="E36" s="26">
        <v>15392.9222</v>
      </c>
      <c r="G36" s="26"/>
      <c r="H36" s="19"/>
    </row>
    <row r="37">
      <c r="C37" s="25" t="s">
        <v>5</v>
      </c>
      <c r="D37" s="26">
        <f>A32+C32+E32+G32+I32+K32</f>
        <v>1630.822455</v>
      </c>
      <c r="E37" s="26">
        <v>1830.691455</v>
      </c>
      <c r="G37" s="26"/>
      <c r="H37" s="19"/>
    </row>
    <row r="38">
      <c r="G38" s="26"/>
      <c r="H38" s="19"/>
    </row>
    <row r="39">
      <c r="G39" s="19"/>
      <c r="H39" s="19"/>
    </row>
    <row r="49">
      <c r="F49" s="25">
        <v>1.0</v>
      </c>
      <c r="G49" s="25">
        <v>4500.0</v>
      </c>
    </row>
    <row r="50">
      <c r="F50" s="25">
        <v>1.0</v>
      </c>
      <c r="G50" s="25">
        <v>4700.0</v>
      </c>
    </row>
    <row r="51">
      <c r="F51" s="25">
        <v>3.0</v>
      </c>
      <c r="G51" s="25">
        <v>7100.0</v>
      </c>
    </row>
    <row r="52">
      <c r="F52" s="25">
        <v>3.0</v>
      </c>
      <c r="G52" s="25">
        <v>7600.0</v>
      </c>
    </row>
  </sheetData>
  <mergeCells count="2">
    <mergeCell ref="A1:K1"/>
    <mergeCell ref="B31:K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4" max="4" width="15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611.0</v>
      </c>
      <c r="B2" s="5"/>
      <c r="C2" s="8"/>
      <c r="D2" s="7"/>
      <c r="E2" s="8"/>
      <c r="F2" s="7"/>
      <c r="G2" s="8"/>
      <c r="H2" s="22"/>
      <c r="I2" s="35"/>
      <c r="J2" s="22"/>
      <c r="K2" s="35"/>
      <c r="L2" s="9"/>
      <c r="M2" s="10"/>
      <c r="N2" s="9"/>
      <c r="O2" s="10"/>
    </row>
    <row r="3">
      <c r="A3" s="11">
        <f>1127-(1127*16%)</f>
        <v>946.68</v>
      </c>
      <c r="B3" s="12"/>
      <c r="C3" s="19"/>
      <c r="D3" s="9"/>
      <c r="E3" s="16"/>
      <c r="F3" s="9"/>
      <c r="G3" s="16"/>
      <c r="H3" s="9"/>
      <c r="I3" s="16"/>
      <c r="J3" s="9"/>
      <c r="K3" s="16"/>
      <c r="L3" s="9"/>
      <c r="M3" s="16"/>
      <c r="N3" s="9"/>
      <c r="O3" s="16"/>
    </row>
    <row r="4">
      <c r="A4" s="17">
        <f>329.32-(329.32*10%)</f>
        <v>296.388</v>
      </c>
      <c r="B4" s="12"/>
      <c r="C4" s="19"/>
      <c r="D4" s="9"/>
      <c r="E4" s="16"/>
      <c r="F4" s="9"/>
      <c r="G4" s="16"/>
      <c r="H4" s="9"/>
      <c r="I4" s="16"/>
      <c r="J4" s="9"/>
      <c r="K4" s="16"/>
      <c r="L4" s="9"/>
      <c r="M4" s="16"/>
      <c r="N4" s="9"/>
      <c r="O4" s="16"/>
    </row>
    <row r="5">
      <c r="A5" s="11">
        <f>312.34-(312.34*16%)</f>
        <v>262.3656</v>
      </c>
      <c r="B5" s="12"/>
      <c r="C5" s="19"/>
      <c r="D5" s="9"/>
      <c r="E5" s="16"/>
      <c r="F5" s="9"/>
      <c r="G5" s="16"/>
      <c r="H5" s="9"/>
      <c r="I5" s="16"/>
      <c r="J5" s="9"/>
      <c r="K5" s="16"/>
      <c r="L5" s="9"/>
      <c r="M5" s="16"/>
      <c r="N5" s="9"/>
      <c r="O5" s="16"/>
    </row>
    <row r="6">
      <c r="A6" s="11">
        <f> 292.15-( 292.15*16%)</f>
        <v>245.406</v>
      </c>
      <c r="B6" s="12"/>
      <c r="C6" s="19"/>
      <c r="D6" s="9"/>
      <c r="E6" s="16"/>
      <c r="F6" s="9"/>
      <c r="G6" s="16"/>
      <c r="H6" s="9"/>
      <c r="I6" s="16"/>
      <c r="J6" s="9"/>
      <c r="K6" s="16"/>
      <c r="L6" s="9"/>
      <c r="M6" s="16"/>
      <c r="N6" s="9"/>
      <c r="O6" s="16"/>
    </row>
    <row r="7">
      <c r="A7" s="11">
        <f> 256.57-( 256.57*16%)</f>
        <v>215.5188</v>
      </c>
      <c r="B7" s="19"/>
      <c r="C7" s="19"/>
      <c r="D7" s="9"/>
      <c r="E7" s="16"/>
      <c r="F7" s="9"/>
      <c r="G7" s="16"/>
      <c r="H7" s="9"/>
      <c r="I7" s="16"/>
      <c r="J7" s="9"/>
      <c r="K7" s="16"/>
      <c r="L7" s="9"/>
      <c r="M7" s="16"/>
      <c r="N7" s="9"/>
      <c r="O7" s="16"/>
    </row>
    <row r="8">
      <c r="A8" s="11">
        <f>  253-(  253*16%)</f>
        <v>212.52</v>
      </c>
      <c r="B8" s="9"/>
      <c r="C8" s="19"/>
      <c r="D8" s="9"/>
      <c r="E8" s="16"/>
      <c r="F8" s="9"/>
      <c r="G8" s="16"/>
      <c r="H8" s="9"/>
      <c r="I8" s="16"/>
      <c r="J8" s="9"/>
      <c r="K8" s="16"/>
      <c r="L8" s="9"/>
      <c r="M8" s="16"/>
      <c r="N8" s="9"/>
      <c r="O8" s="16"/>
    </row>
    <row r="9">
      <c r="A9" s="11">
        <f>  218.5-(  218.5*16%)</f>
        <v>183.54</v>
      </c>
      <c r="B9" s="12"/>
      <c r="C9" s="19"/>
      <c r="D9" s="9"/>
      <c r="E9" s="16"/>
      <c r="F9" s="9"/>
      <c r="G9" s="16"/>
      <c r="H9" s="9"/>
      <c r="I9" s="16"/>
      <c r="J9" s="9"/>
      <c r="K9" s="16"/>
      <c r="L9" s="9"/>
      <c r="M9" s="16"/>
      <c r="N9" s="9"/>
      <c r="O9" s="16"/>
    </row>
    <row r="10">
      <c r="A10" s="13">
        <v>237.19</v>
      </c>
      <c r="B10" s="12"/>
      <c r="C10" s="19"/>
      <c r="D10" s="9"/>
      <c r="E10" s="16"/>
      <c r="F10" s="9"/>
      <c r="G10" s="16"/>
      <c r="H10" s="9"/>
      <c r="I10" s="16"/>
      <c r="J10" s="9"/>
      <c r="K10" s="16"/>
      <c r="L10" s="9"/>
      <c r="M10" s="16"/>
      <c r="N10" s="9"/>
      <c r="O10" s="16"/>
    </row>
    <row r="11">
      <c r="A11" s="11">
        <f> 292.15-( 292.15*16%)</f>
        <v>245.406</v>
      </c>
      <c r="B11" s="12"/>
      <c r="C11" s="19"/>
      <c r="D11" s="9"/>
      <c r="E11" s="16"/>
      <c r="F11" s="9"/>
      <c r="G11" s="16"/>
      <c r="H11" s="9"/>
      <c r="I11" s="16"/>
      <c r="J11" s="9"/>
      <c r="K11" s="16"/>
      <c r="L11" s="9"/>
      <c r="M11" s="16"/>
      <c r="N11" s="9"/>
      <c r="O11" s="16"/>
    </row>
    <row r="12">
      <c r="A12" s="11">
        <f> 551.84-( 551.84*16%)</f>
        <v>463.5456</v>
      </c>
      <c r="B12" s="12"/>
      <c r="C12" s="19"/>
      <c r="D12" s="9"/>
      <c r="E12" s="16"/>
      <c r="F12" s="9"/>
      <c r="G12" s="16"/>
      <c r="H12" s="9"/>
      <c r="I12" s="16"/>
      <c r="J12" s="9"/>
      <c r="K12" s="16"/>
      <c r="L12" s="9"/>
      <c r="M12" s="16"/>
      <c r="N12" s="9"/>
      <c r="O12" s="16"/>
    </row>
    <row r="13">
      <c r="A13" s="11">
        <f> 207-( 207*16%)</f>
        <v>173.88</v>
      </c>
      <c r="B13" s="10"/>
      <c r="C13" s="19"/>
      <c r="D13" s="9"/>
      <c r="E13" s="16"/>
      <c r="F13" s="9"/>
      <c r="G13" s="16"/>
      <c r="H13" s="9"/>
      <c r="I13" s="16"/>
      <c r="J13" s="9"/>
      <c r="K13" s="16"/>
      <c r="L13" s="9"/>
      <c r="M13" s="16"/>
      <c r="N13" s="9"/>
      <c r="O13" s="16"/>
    </row>
    <row r="14">
      <c r="A14" s="11">
        <f> 234.26-( 234.26*16%)</f>
        <v>196.7784</v>
      </c>
      <c r="B14" s="12"/>
      <c r="C14" s="19"/>
      <c r="D14" s="9"/>
      <c r="E14" s="16"/>
      <c r="F14" s="9"/>
      <c r="G14" s="16"/>
      <c r="H14" s="9"/>
      <c r="I14" s="16"/>
      <c r="J14" s="9"/>
      <c r="K14" s="16"/>
      <c r="L14" s="9"/>
      <c r="M14" s="16"/>
      <c r="N14" s="9"/>
      <c r="O14" s="16"/>
    </row>
    <row r="15">
      <c r="A15" s="11">
        <f t="shared" ref="A15:A16" si="1"> 207-( 207*16%)</f>
        <v>173.88</v>
      </c>
      <c r="B15" s="12"/>
      <c r="C15" s="19"/>
      <c r="D15" s="9"/>
      <c r="E15" s="16"/>
      <c r="F15" s="9"/>
      <c r="G15" s="16"/>
      <c r="H15" s="9"/>
      <c r="I15" s="16"/>
      <c r="J15" s="9"/>
      <c r="K15" s="16"/>
      <c r="L15" s="9"/>
      <c r="M15" s="16"/>
      <c r="N15" s="9"/>
      <c r="O15" s="16"/>
    </row>
    <row r="16">
      <c r="A16" s="11">
        <f t="shared" si="1"/>
        <v>173.88</v>
      </c>
      <c r="B16" s="12"/>
      <c r="C16" s="19"/>
      <c r="D16" s="9"/>
      <c r="E16" s="16"/>
      <c r="F16" s="9"/>
      <c r="G16" s="16"/>
      <c r="H16" s="9"/>
      <c r="I16" s="16"/>
      <c r="J16" s="9"/>
      <c r="K16" s="16"/>
      <c r="L16" s="9"/>
      <c r="M16" s="16"/>
      <c r="N16" s="9"/>
      <c r="O16" s="16"/>
    </row>
    <row r="17">
      <c r="A17" s="11">
        <f> 678.23-( 678.23*16%)</f>
        <v>569.7132</v>
      </c>
      <c r="B17" s="12"/>
      <c r="C17" s="19"/>
      <c r="D17" s="9"/>
      <c r="E17" s="16"/>
      <c r="F17" s="9"/>
      <c r="G17" s="16"/>
      <c r="H17" s="9"/>
      <c r="I17" s="16"/>
      <c r="J17" s="9"/>
      <c r="K17" s="16"/>
      <c r="L17" s="9"/>
      <c r="M17" s="16"/>
      <c r="N17" s="9"/>
      <c r="O17" s="16"/>
    </row>
    <row r="18">
      <c r="A18" s="11">
        <f> 1045.53-( 1045.53*16%)</f>
        <v>878.2452</v>
      </c>
      <c r="B18" s="9"/>
      <c r="C18" s="19"/>
      <c r="D18" s="9"/>
      <c r="E18" s="16"/>
      <c r="F18" s="9"/>
      <c r="G18" s="16"/>
      <c r="H18" s="9"/>
      <c r="I18" s="16"/>
      <c r="J18" s="9"/>
      <c r="K18" s="16"/>
      <c r="L18" s="9"/>
      <c r="M18" s="16"/>
      <c r="N18" s="9"/>
      <c r="O18" s="16"/>
    </row>
    <row r="19">
      <c r="A19" s="11">
        <f t="shared" ref="A19:A20" si="2">  253-(  253*16%)</f>
        <v>212.52</v>
      </c>
      <c r="B19" s="12"/>
      <c r="C19" s="19"/>
      <c r="D19" s="9"/>
      <c r="E19" s="16"/>
      <c r="F19" s="9"/>
      <c r="G19" s="16"/>
      <c r="H19" s="9"/>
      <c r="I19" s="16"/>
      <c r="J19" s="9"/>
      <c r="K19" s="16"/>
      <c r="L19" s="9"/>
      <c r="M19" s="16"/>
      <c r="N19" s="9"/>
      <c r="O19" s="16"/>
    </row>
    <row r="20">
      <c r="A20" s="11">
        <f t="shared" si="2"/>
        <v>212.52</v>
      </c>
      <c r="B20" s="12"/>
      <c r="C20" s="19"/>
      <c r="D20" s="10"/>
      <c r="E20" s="16"/>
      <c r="F20" s="9"/>
      <c r="G20" s="16"/>
      <c r="H20" s="9"/>
      <c r="I20" s="16"/>
      <c r="J20" s="9"/>
      <c r="K20" s="16"/>
      <c r="L20" s="9"/>
      <c r="M20" s="16"/>
      <c r="N20" s="9"/>
      <c r="O20" s="16"/>
    </row>
    <row r="21">
      <c r="A21" s="19">
        <v>0.0</v>
      </c>
      <c r="B21" s="12"/>
      <c r="C21" s="19"/>
      <c r="D21" s="9"/>
      <c r="E21" s="16"/>
      <c r="F21" s="9"/>
      <c r="G21" s="16"/>
      <c r="H21" s="9"/>
      <c r="I21" s="16"/>
      <c r="J21" s="9"/>
      <c r="K21" s="16"/>
      <c r="L21" s="9"/>
      <c r="M21" s="16"/>
      <c r="N21" s="9"/>
      <c r="O21" s="16"/>
    </row>
    <row r="22">
      <c r="A22" s="19">
        <v>0.0</v>
      </c>
      <c r="B22" s="9"/>
      <c r="C22" s="19"/>
      <c r="D22" s="9"/>
      <c r="E22" s="16"/>
      <c r="F22" s="9"/>
      <c r="G22" s="16"/>
      <c r="H22" s="9"/>
      <c r="I22" s="16"/>
      <c r="J22" s="9"/>
      <c r="K22" s="16"/>
      <c r="L22" s="9"/>
      <c r="M22" s="16"/>
      <c r="N22" s="9"/>
      <c r="O22" s="16"/>
    </row>
    <row r="23">
      <c r="A23" s="19">
        <v>0.0</v>
      </c>
      <c r="B23" s="9"/>
      <c r="C23" s="19"/>
      <c r="D23" s="9"/>
      <c r="E23" s="16"/>
      <c r="F23" s="9"/>
      <c r="G23" s="16"/>
      <c r="H23" s="9"/>
      <c r="I23" s="16"/>
      <c r="J23" s="9"/>
      <c r="K23" s="16"/>
      <c r="L23" s="9"/>
      <c r="M23" s="16"/>
      <c r="N23" s="9"/>
      <c r="O23" s="16"/>
    </row>
    <row r="24">
      <c r="A24" s="19">
        <v>0.0</v>
      </c>
      <c r="B24" s="9"/>
      <c r="C24" s="19"/>
      <c r="D24" s="9"/>
      <c r="E24" s="16"/>
      <c r="F24" s="9"/>
      <c r="G24" s="16"/>
      <c r="H24" s="9"/>
      <c r="I24" s="16"/>
      <c r="J24" s="9"/>
      <c r="K24" s="16"/>
      <c r="L24" s="9"/>
      <c r="M24" s="16"/>
      <c r="N24" s="9"/>
      <c r="O24" s="16"/>
    </row>
    <row r="25">
      <c r="A25" s="19">
        <v>0.0</v>
      </c>
      <c r="B25" s="9"/>
      <c r="C25" s="27"/>
      <c r="D25" s="19" t="s">
        <v>4</v>
      </c>
      <c r="E25" s="16"/>
      <c r="F25" s="9"/>
      <c r="G25" s="16"/>
      <c r="H25" s="9"/>
      <c r="I25" s="16"/>
      <c r="J25" s="9"/>
      <c r="K25" s="16"/>
      <c r="L25" s="9"/>
      <c r="M25" s="16"/>
      <c r="N25" s="9"/>
      <c r="O25" s="16"/>
    </row>
    <row r="26">
      <c r="A26" s="19">
        <v>0.0</v>
      </c>
      <c r="B26" s="9"/>
      <c r="C26" s="28"/>
      <c r="D26" s="19" t="s">
        <v>6</v>
      </c>
      <c r="E26" s="16"/>
      <c r="F26" s="9"/>
      <c r="G26" s="16"/>
      <c r="H26" s="9"/>
      <c r="I26" s="16"/>
      <c r="J26" s="9"/>
      <c r="K26" s="16"/>
      <c r="L26" s="9"/>
      <c r="M26" s="16"/>
      <c r="N26" s="9"/>
      <c r="O26" s="16"/>
    </row>
    <row r="27">
      <c r="A27" s="19">
        <v>0.0</v>
      </c>
      <c r="B27" s="9"/>
      <c r="C27" s="29"/>
      <c r="D27" s="19" t="s">
        <v>7</v>
      </c>
      <c r="E27" s="16"/>
      <c r="F27" s="9"/>
      <c r="G27" s="16"/>
      <c r="H27" s="9"/>
      <c r="I27" s="16"/>
      <c r="J27" s="9"/>
      <c r="K27" s="16"/>
      <c r="L27" s="9"/>
      <c r="M27" s="16"/>
      <c r="N27" s="9"/>
      <c r="O27" s="16"/>
    </row>
    <row r="28">
      <c r="A28" s="19">
        <v>0.0</v>
      </c>
      <c r="B28" s="9"/>
      <c r="C28" s="19"/>
      <c r="D28" s="19"/>
      <c r="E28" s="16"/>
      <c r="F28" s="9"/>
      <c r="G28" s="16"/>
      <c r="H28" s="9"/>
      <c r="I28" s="16"/>
      <c r="J28" s="9"/>
      <c r="K28" s="16"/>
      <c r="L28" s="9"/>
      <c r="M28" s="16"/>
      <c r="N28" s="9"/>
      <c r="O28" s="16"/>
    </row>
    <row r="29">
      <c r="A29" s="19">
        <v>0.0</v>
      </c>
      <c r="B29" s="9"/>
      <c r="C29" s="9"/>
      <c r="D29" s="19"/>
      <c r="E29" s="16"/>
      <c r="F29" s="9"/>
      <c r="G29" s="16"/>
      <c r="H29" s="9"/>
      <c r="I29" s="16"/>
      <c r="J29" s="9"/>
      <c r="K29" s="16"/>
      <c r="L29" s="9"/>
      <c r="M29" s="16"/>
      <c r="N29" s="9"/>
      <c r="O29" s="16"/>
    </row>
    <row r="30">
      <c r="A30" s="36">
        <f>SUM(A3:A29)</f>
        <v>5899.9768</v>
      </c>
      <c r="B30" s="9"/>
      <c r="C30" s="21"/>
      <c r="D30" s="22"/>
      <c r="E30" s="21"/>
      <c r="F30" s="21"/>
      <c r="G30" s="21"/>
      <c r="H30" s="9"/>
      <c r="I30" s="21"/>
      <c r="J30" s="9"/>
      <c r="K30" s="21"/>
      <c r="L30" s="9"/>
      <c r="M30" s="21"/>
      <c r="N30" s="9"/>
      <c r="O30" s="21"/>
    </row>
    <row r="31">
      <c r="A31" s="8" t="s">
        <v>8</v>
      </c>
      <c r="B31" s="23">
        <f>A30+C30+E30+G30+I30+K30</f>
        <v>5899.9768</v>
      </c>
    </row>
    <row r="32">
      <c r="A32" s="24">
        <f>(A30-2302.04)*17%</f>
        <v>611.649256</v>
      </c>
      <c r="B32" s="37"/>
      <c r="C32" s="37"/>
    </row>
    <row r="33">
      <c r="C33" s="25" t="s">
        <v>3</v>
      </c>
      <c r="D33" s="26">
        <f>B31</f>
        <v>5899.9768</v>
      </c>
      <c r="E33" s="26">
        <v>5899.9768</v>
      </c>
    </row>
    <row r="34">
      <c r="C34" s="25" t="s">
        <v>5</v>
      </c>
      <c r="D34" s="26">
        <f>A32+C32+E32+G32+I32+K32</f>
        <v>611.649256</v>
      </c>
      <c r="E34" s="26">
        <v>611.6492560000002</v>
      </c>
    </row>
  </sheetData>
  <mergeCells count="2">
    <mergeCell ref="A1:K1"/>
    <mergeCell ref="B31:O3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910.0</v>
      </c>
      <c r="B2" s="5"/>
      <c r="C2" s="8"/>
      <c r="D2" s="7"/>
      <c r="E2" s="8"/>
      <c r="F2" s="7"/>
      <c r="G2" s="8"/>
      <c r="H2" s="22"/>
      <c r="I2" s="35"/>
      <c r="J2" s="22"/>
      <c r="K2" s="35"/>
      <c r="M2" s="10"/>
      <c r="O2" s="10"/>
    </row>
    <row r="3">
      <c r="A3" s="13">
        <v>824.42</v>
      </c>
      <c r="B3" s="12"/>
      <c r="C3" s="19"/>
      <c r="D3" s="9"/>
      <c r="E3" s="16"/>
      <c r="F3" s="9"/>
      <c r="G3" s="16"/>
      <c r="H3" s="9"/>
      <c r="I3" s="16"/>
      <c r="J3" s="9"/>
      <c r="K3" s="16"/>
      <c r="M3" s="38"/>
      <c r="O3" s="38"/>
    </row>
    <row r="4">
      <c r="A4" s="11">
        <f>298.76-(298.76*13%)</f>
        <v>259.9212</v>
      </c>
      <c r="B4" s="12"/>
      <c r="C4" s="19"/>
      <c r="D4" s="9"/>
      <c r="E4" s="16"/>
      <c r="F4" s="9"/>
      <c r="G4" s="16"/>
      <c r="H4" s="9"/>
      <c r="I4" s="16"/>
      <c r="J4" s="9"/>
      <c r="K4" s="16"/>
      <c r="M4" s="38"/>
      <c r="O4" s="38"/>
    </row>
    <row r="5">
      <c r="A5" s="11">
        <f> 213.4-( 213.4*13%)</f>
        <v>185.658</v>
      </c>
      <c r="B5" s="12"/>
      <c r="C5" s="19"/>
      <c r="D5" s="9"/>
      <c r="E5" s="16"/>
      <c r="F5" s="9"/>
      <c r="G5" s="16"/>
      <c r="H5" s="9"/>
      <c r="I5" s="16"/>
      <c r="J5" s="9"/>
      <c r="K5" s="16"/>
      <c r="M5" s="38"/>
      <c r="O5" s="38"/>
    </row>
    <row r="6">
      <c r="A6" s="13">
        <v>189.74</v>
      </c>
      <c r="B6" s="19"/>
      <c r="C6" s="19"/>
      <c r="D6" s="9"/>
      <c r="E6" s="16"/>
      <c r="F6" s="9"/>
      <c r="G6" s="16"/>
      <c r="H6" s="9"/>
      <c r="I6" s="16"/>
      <c r="J6" s="9"/>
      <c r="K6" s="16"/>
      <c r="M6" s="38"/>
      <c r="O6" s="38"/>
    </row>
    <row r="7">
      <c r="A7" s="11">
        <f>224.07-(224.07*13%)</f>
        <v>194.9409</v>
      </c>
      <c r="B7" s="19"/>
      <c r="C7" s="19"/>
      <c r="D7" s="9"/>
      <c r="E7" s="16"/>
      <c r="F7" s="9"/>
      <c r="G7" s="16"/>
      <c r="H7" s="9"/>
      <c r="I7" s="16"/>
      <c r="J7" s="9"/>
      <c r="K7" s="16"/>
      <c r="M7" s="38"/>
      <c r="O7" s="38"/>
    </row>
    <row r="8">
      <c r="A8" s="13">
        <v>682.11</v>
      </c>
      <c r="B8" s="9"/>
      <c r="C8" s="19"/>
      <c r="D8" s="9"/>
      <c r="E8" s="16"/>
      <c r="F8" s="9"/>
      <c r="G8" s="16"/>
      <c r="H8" s="9"/>
      <c r="I8" s="16"/>
      <c r="J8" s="9"/>
      <c r="K8" s="16"/>
      <c r="M8" s="38"/>
      <c r="O8" s="38"/>
    </row>
    <row r="9">
      <c r="A9" s="11">
        <f>203.7-(203.7*13%)</f>
        <v>177.219</v>
      </c>
      <c r="B9" s="12"/>
      <c r="C9" s="19"/>
      <c r="D9" s="9"/>
      <c r="E9" s="16"/>
      <c r="F9" s="9"/>
      <c r="G9" s="16"/>
      <c r="H9" s="9"/>
      <c r="I9" s="16"/>
      <c r="J9" s="9"/>
      <c r="K9" s="16"/>
      <c r="M9" s="38"/>
      <c r="O9" s="38"/>
    </row>
    <row r="10">
      <c r="A10" s="11">
        <v>208.55</v>
      </c>
      <c r="B10" s="12"/>
      <c r="C10" s="19"/>
      <c r="D10" s="9"/>
      <c r="E10" s="16"/>
      <c r="F10" s="9"/>
      <c r="G10" s="16"/>
      <c r="H10" s="9"/>
      <c r="I10" s="16"/>
      <c r="J10" s="9"/>
      <c r="K10" s="16"/>
      <c r="M10" s="38"/>
      <c r="O10" s="38"/>
    </row>
    <row r="11">
      <c r="A11" s="11">
        <f> 213.4-( 213.4*13%)</f>
        <v>185.658</v>
      </c>
      <c r="B11" s="12"/>
      <c r="C11" s="19"/>
      <c r="D11" s="9"/>
      <c r="E11" s="16"/>
      <c r="F11" s="9"/>
      <c r="G11" s="16"/>
      <c r="H11" s="9"/>
      <c r="I11" s="16"/>
      <c r="J11" s="9"/>
      <c r="K11" s="16"/>
      <c r="M11" s="38"/>
      <c r="O11" s="38"/>
    </row>
    <row r="12">
      <c r="A12" s="11">
        <f>224.07-(224.07*13%)</f>
        <v>194.9409</v>
      </c>
      <c r="B12" s="12"/>
      <c r="C12" s="19"/>
      <c r="D12" s="9"/>
      <c r="E12" s="16"/>
      <c r="F12" s="9"/>
      <c r="G12" s="16"/>
      <c r="H12" s="9"/>
      <c r="I12" s="16"/>
      <c r="J12" s="9"/>
      <c r="K12" s="16"/>
      <c r="M12" s="38"/>
      <c r="O12" s="38"/>
    </row>
    <row r="13">
      <c r="A13" s="11">
        <f>202.73-(202.73*13%)</f>
        <v>176.3751</v>
      </c>
      <c r="B13" s="10"/>
      <c r="C13" s="19"/>
      <c r="D13" s="9"/>
      <c r="E13" s="16"/>
      <c r="F13" s="9"/>
      <c r="G13" s="16"/>
      <c r="H13" s="9"/>
      <c r="I13" s="16"/>
      <c r="J13" s="9"/>
      <c r="K13" s="16"/>
      <c r="M13" s="38"/>
      <c r="O13" s="38"/>
    </row>
    <row r="14">
      <c r="A14" s="11">
        <f>234.74-(234.74*13%)</f>
        <v>204.2238</v>
      </c>
      <c r="B14" s="10"/>
      <c r="C14" s="19"/>
      <c r="D14" s="9"/>
      <c r="E14" s="16"/>
      <c r="F14" s="9"/>
      <c r="G14" s="16"/>
      <c r="H14" s="9"/>
      <c r="I14" s="16"/>
      <c r="J14" s="9"/>
      <c r="K14" s="16"/>
      <c r="M14" s="38"/>
      <c r="O14" s="38"/>
    </row>
    <row r="15">
      <c r="A15" s="13">
        <v>142.31</v>
      </c>
      <c r="B15" s="12"/>
      <c r="C15" s="19"/>
      <c r="D15" s="9"/>
      <c r="E15" s="16"/>
      <c r="F15" s="9"/>
      <c r="G15" s="16"/>
      <c r="H15" s="9"/>
      <c r="I15" s="16"/>
      <c r="J15" s="9"/>
      <c r="K15" s="16"/>
      <c r="M15" s="38"/>
      <c r="O15" s="38"/>
    </row>
    <row r="16">
      <c r="A16" s="11">
        <f>981.63-(981.63*13%)</f>
        <v>854.0181</v>
      </c>
      <c r="B16" s="12"/>
      <c r="C16" s="19"/>
      <c r="D16" s="9"/>
      <c r="E16" s="16"/>
      <c r="F16" s="9"/>
      <c r="G16" s="16"/>
      <c r="H16" s="9"/>
      <c r="I16" s="16"/>
      <c r="J16" s="9"/>
      <c r="K16" s="16"/>
      <c r="M16" s="38"/>
      <c r="O16" s="38"/>
    </row>
    <row r="17">
      <c r="A17" s="11">
        <f>434.7-(434.7*13%)</f>
        <v>378.189</v>
      </c>
      <c r="B17" s="12"/>
      <c r="C17" s="19"/>
      <c r="D17" s="9"/>
      <c r="E17" s="16"/>
      <c r="F17" s="9"/>
      <c r="G17" s="16"/>
      <c r="H17" s="9"/>
      <c r="I17" s="16"/>
      <c r="J17" s="9"/>
      <c r="K17" s="16"/>
      <c r="M17" s="38"/>
      <c r="O17" s="38"/>
    </row>
    <row r="18">
      <c r="A18" s="11">
        <f>512.16-(512.16*13%)</f>
        <v>445.5792</v>
      </c>
      <c r="B18" s="9"/>
      <c r="C18" s="19"/>
      <c r="D18" s="9"/>
      <c r="E18" s="16"/>
      <c r="F18" s="9"/>
      <c r="G18" s="16"/>
      <c r="H18" s="9"/>
      <c r="I18" s="16"/>
      <c r="J18" s="9"/>
      <c r="K18" s="16"/>
      <c r="M18" s="38"/>
      <c r="O18" s="38"/>
    </row>
    <row r="19">
      <c r="A19" s="19">
        <v>0.0</v>
      </c>
      <c r="B19" s="12"/>
      <c r="C19" s="19"/>
      <c r="D19" s="9"/>
      <c r="E19" s="16"/>
      <c r="F19" s="9"/>
      <c r="G19" s="16"/>
      <c r="H19" s="9"/>
      <c r="I19" s="16"/>
      <c r="J19" s="9"/>
      <c r="K19" s="16"/>
      <c r="M19" s="38"/>
      <c r="O19" s="38"/>
    </row>
    <row r="20">
      <c r="A20" s="19">
        <v>0.0</v>
      </c>
      <c r="B20" s="12"/>
      <c r="C20" s="19"/>
      <c r="D20" s="9"/>
      <c r="E20" s="16"/>
      <c r="F20" s="9"/>
      <c r="G20" s="16"/>
      <c r="H20" s="9"/>
      <c r="I20" s="16"/>
      <c r="J20" s="9"/>
      <c r="K20" s="16"/>
      <c r="M20" s="38"/>
      <c r="O20" s="38"/>
    </row>
    <row r="21">
      <c r="A21" s="19">
        <v>0.0</v>
      </c>
      <c r="B21" s="12"/>
      <c r="C21" s="19"/>
      <c r="D21" s="9"/>
      <c r="E21" s="16"/>
      <c r="F21" s="9"/>
      <c r="G21" s="16"/>
      <c r="H21" s="9"/>
      <c r="I21" s="16"/>
      <c r="J21" s="9"/>
      <c r="K21" s="16"/>
      <c r="M21" s="38"/>
      <c r="O21" s="38"/>
    </row>
    <row r="22">
      <c r="A22" s="19">
        <v>0.0</v>
      </c>
      <c r="B22" s="9"/>
      <c r="C22" s="19"/>
      <c r="D22" s="9"/>
      <c r="E22" s="16"/>
      <c r="F22" s="9"/>
      <c r="G22" s="16"/>
      <c r="H22" s="9"/>
      <c r="I22" s="16"/>
      <c r="J22" s="9"/>
      <c r="K22" s="16"/>
      <c r="M22" s="38"/>
      <c r="O22" s="38"/>
    </row>
    <row r="23">
      <c r="A23" s="19">
        <v>0.0</v>
      </c>
      <c r="B23" s="9"/>
      <c r="C23" s="19"/>
      <c r="D23" s="9"/>
      <c r="E23" s="16"/>
      <c r="F23" s="9"/>
      <c r="G23" s="16"/>
      <c r="H23" s="9"/>
      <c r="I23" s="16"/>
      <c r="J23" s="9"/>
      <c r="K23" s="16"/>
      <c r="M23" s="38"/>
      <c r="O23" s="38"/>
    </row>
    <row r="24">
      <c r="A24" s="19">
        <v>0.0</v>
      </c>
      <c r="B24" s="9"/>
      <c r="C24" s="19"/>
      <c r="D24" s="9"/>
      <c r="E24" s="16"/>
      <c r="F24" s="9"/>
      <c r="G24" s="16"/>
      <c r="H24" s="9"/>
      <c r="I24" s="16"/>
      <c r="J24" s="9"/>
      <c r="K24" s="16"/>
      <c r="M24" s="38"/>
      <c r="O24" s="38"/>
    </row>
    <row r="25">
      <c r="A25" s="19">
        <v>0.0</v>
      </c>
      <c r="B25" s="9"/>
      <c r="C25" s="19"/>
      <c r="D25" s="9"/>
      <c r="E25" s="16"/>
      <c r="F25" s="9"/>
      <c r="G25" s="16"/>
      <c r="H25" s="9"/>
      <c r="I25" s="16"/>
      <c r="J25" s="9"/>
      <c r="K25" s="16"/>
      <c r="M25" s="38"/>
      <c r="O25" s="38"/>
    </row>
    <row r="26">
      <c r="A26" s="19">
        <v>0.0</v>
      </c>
      <c r="B26" s="9"/>
      <c r="C26" s="19"/>
      <c r="D26" s="9"/>
      <c r="E26" s="16"/>
      <c r="F26" s="9"/>
      <c r="G26" s="16"/>
      <c r="H26" s="9"/>
      <c r="I26" s="16"/>
      <c r="J26" s="9"/>
      <c r="K26" s="16"/>
      <c r="M26" s="38"/>
      <c r="O26" s="38"/>
    </row>
    <row r="27">
      <c r="A27" s="19">
        <v>0.0</v>
      </c>
      <c r="B27" s="9"/>
      <c r="C27" s="27"/>
      <c r="D27" s="19" t="s">
        <v>4</v>
      </c>
      <c r="E27" s="16"/>
      <c r="F27" s="9"/>
      <c r="G27" s="16"/>
      <c r="H27" s="9"/>
      <c r="I27" s="16"/>
      <c r="J27" s="9"/>
      <c r="K27" s="16"/>
      <c r="M27" s="38"/>
      <c r="O27" s="38"/>
    </row>
    <row r="28">
      <c r="A28" s="19">
        <v>0.0</v>
      </c>
      <c r="B28" s="9"/>
      <c r="C28" s="28"/>
      <c r="D28" s="19" t="s">
        <v>6</v>
      </c>
      <c r="E28" s="16"/>
      <c r="F28" s="9"/>
      <c r="G28" s="16"/>
      <c r="H28" s="9"/>
      <c r="I28" s="16"/>
      <c r="J28" s="9"/>
      <c r="K28" s="16"/>
      <c r="M28" s="38"/>
      <c r="O28" s="38"/>
    </row>
    <row r="29">
      <c r="A29" s="19">
        <v>0.0</v>
      </c>
      <c r="B29" s="9"/>
      <c r="C29" s="29"/>
      <c r="D29" s="19" t="s">
        <v>7</v>
      </c>
      <c r="E29" s="16"/>
      <c r="F29" s="9"/>
      <c r="G29" s="16"/>
      <c r="H29" s="9"/>
      <c r="I29" s="16"/>
      <c r="J29" s="9"/>
      <c r="K29" s="16"/>
      <c r="M29" s="38"/>
      <c r="O29" s="38"/>
    </row>
    <row r="30">
      <c r="A30" s="21">
        <f>SUM(A3:A29)</f>
        <v>5303.8532</v>
      </c>
      <c r="B30" s="9"/>
      <c r="C30" s="19"/>
      <c r="D30" s="19"/>
      <c r="E30" s="21"/>
      <c r="F30" s="21"/>
      <c r="G30" s="21"/>
      <c r="H30" s="9"/>
      <c r="I30" s="21"/>
      <c r="J30" s="9"/>
      <c r="K30" s="21"/>
      <c r="M30" s="39"/>
      <c r="O30" s="39"/>
    </row>
    <row r="31">
      <c r="A31" s="8" t="s">
        <v>8</v>
      </c>
      <c r="B31" s="23">
        <f>A30+C30+E30+G30+I30+K30</f>
        <v>5303.8532</v>
      </c>
    </row>
    <row r="32">
      <c r="A32" s="24">
        <f>(A30-2418.5)*17%</f>
        <v>490.510044</v>
      </c>
      <c r="B32" s="37"/>
      <c r="C32" s="37"/>
    </row>
    <row r="33">
      <c r="A33" s="25"/>
    </row>
    <row r="35">
      <c r="D35" s="25" t="s">
        <v>3</v>
      </c>
      <c r="E35" s="26">
        <f>B31</f>
        <v>5303.8532</v>
      </c>
      <c r="F35" s="38"/>
    </row>
    <row r="36">
      <c r="D36" s="25" t="s">
        <v>5</v>
      </c>
      <c r="E36" s="26">
        <f>A32+C32+E32+G32+I32+K32</f>
        <v>490.510044</v>
      </c>
      <c r="F36" s="38"/>
    </row>
  </sheetData>
  <mergeCells count="2">
    <mergeCell ref="A1:K1"/>
    <mergeCell ref="B31:K3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718.0</v>
      </c>
      <c r="B2" s="5"/>
      <c r="C2" s="8"/>
      <c r="D2" s="7"/>
      <c r="E2" s="8"/>
      <c r="F2" s="7"/>
      <c r="G2" s="8"/>
      <c r="H2" s="22"/>
      <c r="I2" s="35"/>
      <c r="J2" s="22"/>
      <c r="K2" s="35"/>
      <c r="M2" s="10"/>
      <c r="O2" s="10"/>
    </row>
    <row r="3">
      <c r="A3" s="13">
        <f>( 1130.3)/4*2</f>
        <v>565.15</v>
      </c>
      <c r="B3" s="40"/>
      <c r="C3" s="19"/>
      <c r="D3" s="9"/>
      <c r="E3" s="16"/>
      <c r="F3" s="9"/>
      <c r="G3" s="16"/>
      <c r="H3" s="9"/>
      <c r="I3" s="16"/>
      <c r="J3" s="9"/>
      <c r="K3" s="16"/>
      <c r="M3" s="38"/>
      <c r="O3" s="38"/>
    </row>
    <row r="4">
      <c r="A4" s="11">
        <f>216.41-(216.41*13%)</f>
        <v>188.2767</v>
      </c>
      <c r="B4" s="40"/>
      <c r="C4" s="19"/>
      <c r="D4" s="9"/>
      <c r="E4" s="16"/>
      <c r="F4" s="9"/>
      <c r="G4" s="16"/>
      <c r="H4" s="9"/>
      <c r="I4" s="16"/>
      <c r="J4" s="9"/>
      <c r="K4" s="16"/>
      <c r="M4" s="38"/>
      <c r="O4" s="38"/>
    </row>
    <row r="5">
      <c r="A5" s="11">
        <f>460.42-(460.42*13%)</f>
        <v>400.5654</v>
      </c>
      <c r="B5" s="40"/>
      <c r="C5" s="19"/>
      <c r="D5" s="9"/>
      <c r="E5" s="16"/>
      <c r="F5" s="9"/>
      <c r="G5" s="16"/>
      <c r="H5" s="9"/>
      <c r="I5" s="16"/>
      <c r="J5" s="9"/>
      <c r="K5" s="16"/>
      <c r="M5" s="38"/>
      <c r="O5" s="38"/>
    </row>
    <row r="6">
      <c r="A6" s="11">
        <f>187.4-(187.4*13%)</f>
        <v>163.038</v>
      </c>
      <c r="B6" s="40"/>
      <c r="C6" s="19"/>
      <c r="D6" s="9"/>
      <c r="E6" s="16"/>
      <c r="F6" s="9"/>
      <c r="G6" s="16"/>
      <c r="H6" s="9"/>
      <c r="I6" s="16"/>
      <c r="J6" s="9"/>
      <c r="K6" s="16"/>
      <c r="M6" s="38"/>
      <c r="O6" s="38"/>
    </row>
    <row r="7">
      <c r="A7" s="11">
        <f>178.48-(178.48*13%)</f>
        <v>155.2776</v>
      </c>
      <c r="B7" s="40"/>
      <c r="C7" s="19"/>
      <c r="D7" s="9"/>
      <c r="E7" s="16"/>
      <c r="F7" s="9"/>
      <c r="G7" s="16"/>
      <c r="H7" s="9"/>
      <c r="I7" s="16"/>
      <c r="J7" s="9"/>
      <c r="K7" s="16"/>
      <c r="M7" s="38"/>
      <c r="O7" s="38"/>
    </row>
    <row r="8">
      <c r="A8" s="13">
        <v>179.93</v>
      </c>
      <c r="B8" s="40"/>
      <c r="C8" s="19"/>
      <c r="D8" s="9"/>
      <c r="E8" s="16"/>
      <c r="F8" s="9"/>
      <c r="G8" s="16"/>
      <c r="H8" s="9"/>
      <c r="I8" s="16"/>
      <c r="J8" s="9"/>
      <c r="K8" s="16"/>
      <c r="M8" s="38"/>
      <c r="O8" s="38"/>
    </row>
    <row r="9">
      <c r="A9" s="11">
        <f>245.41-(245.41*13%)</f>
        <v>213.5067</v>
      </c>
      <c r="B9" s="40"/>
      <c r="C9" s="19"/>
      <c r="D9" s="9"/>
      <c r="E9" s="16"/>
      <c r="F9" s="9"/>
      <c r="G9" s="16"/>
      <c r="H9" s="9"/>
      <c r="I9" s="16"/>
      <c r="J9" s="9"/>
      <c r="K9" s="16"/>
      <c r="M9" s="38"/>
      <c r="O9" s="38"/>
    </row>
    <row r="10">
      <c r="A10" s="11">
        <f> 490.82-( 490.82*13%)</f>
        <v>427.0134</v>
      </c>
      <c r="B10" s="40"/>
      <c r="C10" s="19"/>
      <c r="D10" s="9"/>
      <c r="E10" s="16"/>
      <c r="F10" s="9"/>
      <c r="G10" s="16"/>
      <c r="H10" s="9"/>
      <c r="I10" s="16"/>
      <c r="J10" s="9"/>
      <c r="K10" s="16"/>
      <c r="M10" s="38"/>
      <c r="O10" s="38"/>
    </row>
    <row r="11">
      <c r="A11" s="11">
        <f> 378.72-( 378.72*13%)</f>
        <v>329.4864</v>
      </c>
      <c r="B11" s="40"/>
      <c r="C11" s="19"/>
      <c r="D11" s="9"/>
      <c r="E11" s="16"/>
      <c r="F11" s="9"/>
      <c r="G11" s="16"/>
      <c r="H11" s="9"/>
      <c r="I11" s="16"/>
      <c r="J11" s="9"/>
      <c r="K11" s="16"/>
      <c r="M11" s="38"/>
      <c r="O11" s="38"/>
    </row>
    <row r="12">
      <c r="A12" s="19">
        <v>0.0</v>
      </c>
      <c r="B12" s="40"/>
      <c r="C12" s="27"/>
      <c r="D12" s="19" t="s">
        <v>4</v>
      </c>
      <c r="E12" s="16"/>
      <c r="F12" s="9"/>
      <c r="G12" s="16"/>
      <c r="H12" s="9"/>
      <c r="I12" s="16"/>
      <c r="J12" s="9"/>
      <c r="K12" s="16"/>
      <c r="M12" s="38"/>
      <c r="O12" s="38"/>
    </row>
    <row r="13">
      <c r="A13" s="19">
        <v>0.0</v>
      </c>
      <c r="B13" s="9"/>
      <c r="C13" s="28"/>
      <c r="D13" s="19" t="s">
        <v>6</v>
      </c>
      <c r="E13" s="16"/>
      <c r="F13" s="9"/>
      <c r="G13" s="16"/>
      <c r="H13" s="9"/>
      <c r="I13" s="16"/>
      <c r="J13" s="9"/>
      <c r="K13" s="16"/>
      <c r="M13" s="38"/>
      <c r="O13" s="38"/>
    </row>
    <row r="14">
      <c r="A14" s="19">
        <v>0.0</v>
      </c>
      <c r="B14" s="12"/>
      <c r="C14" s="29"/>
      <c r="D14" s="19" t="s">
        <v>7</v>
      </c>
      <c r="E14" s="16"/>
      <c r="F14" s="9"/>
      <c r="G14" s="16"/>
      <c r="H14" s="9"/>
      <c r="I14" s="16"/>
      <c r="J14" s="9"/>
      <c r="K14" s="16"/>
      <c r="M14" s="38"/>
      <c r="O14" s="38"/>
    </row>
    <row r="15">
      <c r="A15" s="19">
        <v>0.0</v>
      </c>
      <c r="B15" s="12"/>
      <c r="C15" s="19"/>
      <c r="D15" s="19"/>
      <c r="E15" s="16"/>
      <c r="F15" s="9"/>
      <c r="G15" s="16"/>
      <c r="H15" s="9"/>
      <c r="I15" s="16"/>
      <c r="J15" s="9"/>
      <c r="K15" s="16"/>
      <c r="M15" s="38"/>
      <c r="O15" s="38"/>
    </row>
    <row r="16">
      <c r="A16" s="19">
        <v>0.0</v>
      </c>
      <c r="B16" s="12"/>
      <c r="C16" s="19"/>
      <c r="D16" s="9"/>
      <c r="E16" s="16"/>
      <c r="F16" s="9"/>
      <c r="G16" s="16"/>
      <c r="H16" s="9"/>
      <c r="I16" s="16"/>
      <c r="J16" s="9"/>
      <c r="K16" s="16"/>
      <c r="M16" s="38"/>
      <c r="O16" s="38"/>
    </row>
    <row r="17">
      <c r="A17" s="19">
        <v>0.0</v>
      </c>
      <c r="B17" s="12"/>
      <c r="C17" s="19"/>
      <c r="D17" s="9"/>
      <c r="E17" s="16"/>
      <c r="F17" s="9"/>
      <c r="G17" s="16"/>
      <c r="H17" s="9"/>
      <c r="I17" s="16"/>
      <c r="J17" s="9"/>
      <c r="K17" s="16"/>
      <c r="M17" s="38"/>
      <c r="O17" s="38"/>
    </row>
    <row r="18">
      <c r="A18" s="19">
        <v>0.0</v>
      </c>
      <c r="B18" s="9"/>
      <c r="C18" s="19"/>
      <c r="D18" s="9"/>
      <c r="E18" s="16"/>
      <c r="F18" s="9"/>
      <c r="G18" s="16"/>
      <c r="H18" s="9"/>
      <c r="I18" s="16"/>
      <c r="J18" s="9"/>
      <c r="K18" s="16"/>
      <c r="M18" s="38"/>
      <c r="O18" s="38"/>
    </row>
    <row r="19">
      <c r="A19" s="19">
        <v>0.0</v>
      </c>
      <c r="B19" s="12"/>
      <c r="C19" s="19"/>
      <c r="D19" s="9"/>
      <c r="E19" s="16"/>
      <c r="F19" s="9"/>
      <c r="G19" s="16"/>
      <c r="H19" s="9"/>
      <c r="I19" s="16"/>
      <c r="J19" s="9"/>
      <c r="K19" s="16"/>
      <c r="M19" s="38"/>
      <c r="O19" s="38"/>
    </row>
    <row r="20">
      <c r="A20" s="19">
        <v>0.0</v>
      </c>
      <c r="B20" s="12"/>
      <c r="C20" s="19"/>
      <c r="D20" s="9"/>
      <c r="E20" s="16"/>
      <c r="F20" s="9"/>
      <c r="G20" s="16"/>
      <c r="H20" s="9"/>
      <c r="I20" s="16"/>
      <c r="J20" s="9"/>
      <c r="K20" s="16"/>
      <c r="M20" s="38"/>
      <c r="O20" s="38"/>
    </row>
    <row r="21">
      <c r="A21" s="19">
        <v>0.0</v>
      </c>
      <c r="B21" s="12"/>
      <c r="C21" s="19"/>
      <c r="D21" s="9"/>
      <c r="E21" s="16"/>
      <c r="F21" s="9"/>
      <c r="G21" s="16"/>
      <c r="H21" s="9"/>
      <c r="I21" s="16"/>
      <c r="J21" s="9"/>
      <c r="K21" s="16"/>
      <c r="M21" s="38"/>
      <c r="O21" s="38"/>
    </row>
    <row r="22">
      <c r="A22" s="19">
        <v>0.0</v>
      </c>
      <c r="B22" s="9"/>
      <c r="C22" s="19"/>
      <c r="D22" s="9"/>
      <c r="E22" s="16"/>
      <c r="F22" s="9"/>
      <c r="G22" s="16"/>
      <c r="H22" s="9"/>
      <c r="I22" s="16"/>
      <c r="J22" s="9"/>
      <c r="K22" s="16"/>
      <c r="M22" s="38"/>
      <c r="O22" s="38"/>
    </row>
    <row r="23">
      <c r="A23" s="19">
        <v>0.0</v>
      </c>
      <c r="B23" s="9"/>
      <c r="C23" s="19"/>
      <c r="D23" s="9"/>
      <c r="E23" s="16"/>
      <c r="F23" s="9"/>
      <c r="G23" s="16"/>
      <c r="H23" s="9"/>
      <c r="I23" s="16"/>
      <c r="J23" s="9"/>
      <c r="K23" s="16"/>
      <c r="M23" s="38"/>
      <c r="O23" s="38"/>
    </row>
    <row r="24">
      <c r="A24" s="19">
        <v>0.0</v>
      </c>
      <c r="B24" s="9"/>
      <c r="C24" s="19"/>
      <c r="D24" s="9"/>
      <c r="E24" s="16"/>
      <c r="F24" s="9"/>
      <c r="G24" s="16"/>
      <c r="H24" s="9"/>
      <c r="I24" s="16"/>
      <c r="J24" s="9"/>
      <c r="K24" s="16"/>
      <c r="M24" s="38"/>
      <c r="O24" s="38"/>
    </row>
    <row r="25">
      <c r="A25" s="19">
        <v>0.0</v>
      </c>
      <c r="B25" s="9"/>
      <c r="C25" s="19"/>
      <c r="D25" s="9"/>
      <c r="E25" s="16"/>
      <c r="F25" s="9"/>
      <c r="G25" s="16"/>
      <c r="H25" s="9"/>
      <c r="I25" s="16"/>
      <c r="J25" s="9"/>
      <c r="K25" s="16"/>
      <c r="M25" s="38"/>
      <c r="O25" s="38"/>
    </row>
    <row r="26">
      <c r="A26" s="19">
        <v>0.0</v>
      </c>
      <c r="B26" s="9"/>
      <c r="C26" s="19"/>
      <c r="D26" s="9"/>
      <c r="E26" s="16"/>
      <c r="F26" s="9"/>
      <c r="G26" s="16"/>
      <c r="H26" s="9"/>
      <c r="I26" s="16"/>
      <c r="J26" s="9"/>
      <c r="K26" s="16"/>
      <c r="M26" s="38"/>
      <c r="O26" s="38"/>
    </row>
    <row r="27">
      <c r="A27" s="19">
        <v>0.0</v>
      </c>
      <c r="B27" s="9"/>
      <c r="C27" s="19"/>
      <c r="D27" s="9"/>
      <c r="E27" s="16"/>
      <c r="F27" s="9"/>
      <c r="G27" s="16"/>
      <c r="H27" s="9"/>
      <c r="I27" s="16"/>
      <c r="J27" s="9"/>
      <c r="K27" s="16"/>
      <c r="M27" s="38"/>
      <c r="O27" s="38"/>
    </row>
    <row r="28">
      <c r="A28" s="19">
        <v>0.0</v>
      </c>
      <c r="B28" s="9"/>
      <c r="C28" s="19"/>
      <c r="D28" s="9"/>
      <c r="E28" s="16"/>
      <c r="F28" s="9"/>
      <c r="G28" s="16"/>
      <c r="H28" s="9"/>
      <c r="I28" s="16"/>
      <c r="J28" s="9"/>
      <c r="K28" s="16"/>
      <c r="M28" s="38"/>
      <c r="O28" s="38"/>
    </row>
    <row r="29">
      <c r="A29" s="19">
        <v>0.0</v>
      </c>
      <c r="B29" s="9"/>
      <c r="C29" s="19"/>
      <c r="D29" s="9"/>
      <c r="E29" s="16"/>
      <c r="F29" s="9"/>
      <c r="G29" s="16"/>
      <c r="H29" s="9"/>
      <c r="I29" s="16"/>
      <c r="J29" s="9"/>
      <c r="K29" s="16"/>
      <c r="M29" s="38"/>
      <c r="O29" s="38"/>
    </row>
    <row r="30">
      <c r="A30" s="21">
        <f>SUM(A3:A29)</f>
        <v>2622.2442</v>
      </c>
      <c r="B30" s="9"/>
      <c r="C30" s="21"/>
      <c r="D30" s="22"/>
      <c r="E30" s="21"/>
      <c r="F30" s="21"/>
      <c r="G30" s="21"/>
      <c r="H30" s="9"/>
      <c r="I30" s="21"/>
      <c r="J30" s="9"/>
      <c r="K30" s="21"/>
      <c r="M30" s="39"/>
      <c r="O30" s="39"/>
    </row>
    <row r="31">
      <c r="A31" s="8" t="s">
        <v>8</v>
      </c>
      <c r="B31" s="23">
        <f>A30+C30+E30+G30+I30+K30</f>
        <v>2622.2442</v>
      </c>
    </row>
    <row r="32">
      <c r="A32" s="24">
        <f>(A30-1135.68)*18%</f>
        <v>267.581556</v>
      </c>
      <c r="B32" s="37"/>
      <c r="C32" s="37"/>
    </row>
    <row r="34">
      <c r="E34" s="25" t="s">
        <v>3</v>
      </c>
      <c r="F34" s="26">
        <f>B31</f>
        <v>2622.2442</v>
      </c>
      <c r="G34" s="26">
        <v>2622.2442</v>
      </c>
    </row>
    <row r="35">
      <c r="E35" s="25" t="s">
        <v>5</v>
      </c>
      <c r="F35" s="26">
        <f>A32+C32+E32+G32+I32+K32</f>
        <v>267.581556</v>
      </c>
      <c r="G35" s="26">
        <v>267.581556</v>
      </c>
    </row>
  </sheetData>
  <mergeCells count="2">
    <mergeCell ref="A1:K1"/>
    <mergeCell ref="B31:K3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4" max="4" width="16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722.0</v>
      </c>
      <c r="B2" s="5"/>
      <c r="C2" s="6">
        <v>1415.0</v>
      </c>
      <c r="D2" s="7"/>
      <c r="E2" s="6">
        <v>1501.0</v>
      </c>
      <c r="F2" s="7"/>
      <c r="G2" s="8"/>
      <c r="H2" s="22"/>
      <c r="I2" s="35"/>
      <c r="J2" s="22"/>
      <c r="K2" s="35"/>
      <c r="M2" s="10"/>
      <c r="O2" s="10"/>
    </row>
    <row r="3">
      <c r="A3" s="11">
        <f>759
-(759
)*13%</f>
        <v>660.33</v>
      </c>
      <c r="B3" s="12"/>
      <c r="C3" s="13">
        <f>(623.22)/2*1</f>
        <v>311.61</v>
      </c>
      <c r="D3" s="9"/>
      <c r="E3" s="15">
        <v>1781.32</v>
      </c>
      <c r="F3" s="16"/>
      <c r="G3" s="16"/>
      <c r="H3" s="9"/>
      <c r="I3" s="16"/>
      <c r="J3" s="9"/>
      <c r="K3" s="16"/>
      <c r="M3" s="38"/>
      <c r="O3" s="38"/>
    </row>
    <row r="4">
      <c r="A4" s="11">
        <f>721.06-(721.06*13%)</f>
        <v>627.3222</v>
      </c>
      <c r="B4" s="12"/>
      <c r="C4" s="11">
        <f>490.82-(490.82*13%)</f>
        <v>427.0134</v>
      </c>
      <c r="D4" s="9"/>
      <c r="E4" s="14">
        <f>218.5-(218.5*13%)</f>
        <v>190.095</v>
      </c>
      <c r="F4" s="16"/>
      <c r="G4" s="16"/>
      <c r="H4" s="9"/>
      <c r="I4" s="16"/>
      <c r="J4" s="9"/>
      <c r="K4" s="16"/>
      <c r="M4" s="38"/>
      <c r="O4" s="38"/>
    </row>
    <row r="5">
      <c r="A5" s="11">
        <f>227.23-(227.23*13%)</f>
        <v>197.6901</v>
      </c>
      <c r="C5" s="11">
        <f>253-(253*13%)</f>
        <v>220.11</v>
      </c>
      <c r="D5" s="9"/>
      <c r="E5" s="15">
        <v>151.3</v>
      </c>
      <c r="F5" s="16"/>
      <c r="G5" s="16"/>
      <c r="H5" s="9"/>
      <c r="I5" s="16"/>
      <c r="J5" s="9"/>
      <c r="K5" s="16"/>
      <c r="M5" s="38"/>
      <c r="O5" s="38"/>
    </row>
    <row r="6">
      <c r="A6" s="17">
        <f t="shared" ref="A6:A7" si="1"> 230-( 230*10%)</f>
        <v>207</v>
      </c>
      <c r="B6" s="12"/>
      <c r="C6" s="11">
        <f>230-(230*13%)</f>
        <v>200.1</v>
      </c>
      <c r="D6" s="9"/>
      <c r="E6" s="15">
        <v>170.11</v>
      </c>
      <c r="F6" s="16"/>
      <c r="G6" s="16"/>
      <c r="H6" s="9"/>
      <c r="I6" s="16"/>
      <c r="J6" s="9"/>
      <c r="K6" s="16"/>
      <c r="M6" s="38"/>
      <c r="O6" s="38"/>
    </row>
    <row r="7">
      <c r="A7" s="17">
        <f t="shared" si="1"/>
        <v>207</v>
      </c>
      <c r="B7" s="19"/>
      <c r="C7" s="11">
        <f> 227.7-( 227.7*13%)</f>
        <v>198.099</v>
      </c>
      <c r="D7" s="9"/>
      <c r="E7" s="15">
        <v>161.12</v>
      </c>
      <c r="F7" s="16"/>
      <c r="G7" s="16"/>
      <c r="H7" s="9"/>
      <c r="I7" s="16"/>
      <c r="J7" s="9"/>
      <c r="K7" s="16"/>
      <c r="M7" s="38"/>
      <c r="O7" s="38"/>
    </row>
    <row r="8">
      <c r="A8" s="11">
        <f>  178.48-(  178.48*13%)</f>
        <v>155.2776</v>
      </c>
      <c r="B8" s="9"/>
      <c r="C8" s="11">
        <f>253-(253*13%)</f>
        <v>220.11</v>
      </c>
      <c r="D8" s="9"/>
      <c r="E8" s="15">
        <v>151.3</v>
      </c>
      <c r="F8" s="16"/>
      <c r="G8" s="16"/>
      <c r="H8" s="9"/>
      <c r="I8" s="16"/>
      <c r="J8" s="9"/>
      <c r="K8" s="16"/>
      <c r="M8" s="38"/>
      <c r="O8" s="38"/>
    </row>
    <row r="9">
      <c r="A9" s="11">
        <f>  468.05-(  468.05*13%)</f>
        <v>407.2035</v>
      </c>
      <c r="B9" s="12"/>
      <c r="C9" s="11">
        <f>506.44
-(506.44
*13%)</f>
        <v>440.6028</v>
      </c>
      <c r="D9" s="9"/>
      <c r="E9" s="15">
        <v>189.74</v>
      </c>
      <c r="F9" s="16"/>
      <c r="G9" s="16"/>
      <c r="H9" s="9"/>
      <c r="I9" s="16"/>
      <c r="J9" s="9"/>
      <c r="K9" s="16"/>
      <c r="M9" s="38"/>
      <c r="O9" s="38"/>
    </row>
    <row r="10">
      <c r="A10" s="11">
        <f>  202.4-(  202.4*13%)</f>
        <v>176.088</v>
      </c>
      <c r="B10" s="12"/>
      <c r="C10" s="11">
        <f> 211.95-( 211.95*13%)</f>
        <v>184.3965</v>
      </c>
      <c r="D10" s="9"/>
      <c r="E10" s="15">
        <v>142.31</v>
      </c>
      <c r="F10" s="9"/>
      <c r="G10" s="16"/>
      <c r="H10" s="9"/>
      <c r="I10" s="16"/>
      <c r="J10" s="9"/>
      <c r="K10" s="16"/>
      <c r="M10" s="38"/>
      <c r="O10" s="38"/>
    </row>
    <row r="11">
      <c r="A11" s="11">
        <f>  423.89-(  423.89*13%)</f>
        <v>368.7843</v>
      </c>
      <c r="B11" s="12"/>
      <c r="C11" s="11">
        <f>  202.4-(  202.4*13%)</f>
        <v>176.088</v>
      </c>
      <c r="D11" s="9"/>
      <c r="E11" s="15">
        <v>142.31</v>
      </c>
      <c r="F11" s="16"/>
      <c r="G11" s="16"/>
      <c r="H11" s="9"/>
      <c r="I11" s="16"/>
      <c r="J11" s="9"/>
      <c r="K11" s="16"/>
      <c r="M11" s="38"/>
      <c r="O11" s="38"/>
    </row>
    <row r="12">
      <c r="A12" s="11">
        <f>  379.5-(  379.5*13%)</f>
        <v>330.165</v>
      </c>
      <c r="B12" s="12"/>
      <c r="C12" s="11">
        <f> 215.05-( 215.05*13%)</f>
        <v>187.0935</v>
      </c>
      <c r="D12" s="9"/>
      <c r="E12" s="15">
        <v>142.31</v>
      </c>
      <c r="F12" s="9"/>
      <c r="G12" s="16"/>
      <c r="H12" s="9"/>
      <c r="I12" s="16"/>
      <c r="J12" s="9"/>
      <c r="K12" s="16"/>
      <c r="M12" s="38"/>
      <c r="O12" s="38"/>
    </row>
    <row r="13">
      <c r="A13" s="11">
        <f>218.5-(218.5*13%)</f>
        <v>190.095</v>
      </c>
      <c r="B13" s="9"/>
      <c r="C13" s="11">
        <f> 189.75-( 189.75*13%)</f>
        <v>165.0825</v>
      </c>
      <c r="D13" s="9"/>
      <c r="E13" s="15">
        <v>161.12</v>
      </c>
      <c r="F13" s="9"/>
      <c r="G13" s="16"/>
      <c r="H13" s="9"/>
      <c r="I13" s="16"/>
      <c r="J13" s="9"/>
      <c r="K13" s="16"/>
      <c r="M13" s="38"/>
      <c r="O13" s="38"/>
    </row>
    <row r="14">
      <c r="A14" s="33">
        <v>-879.91</v>
      </c>
      <c r="B14" s="32"/>
      <c r="C14" s="11">
        <f> 172.5-( 172.5*13%)</f>
        <v>150.075</v>
      </c>
      <c r="D14" s="10"/>
      <c r="E14" s="15">
        <v>606.04</v>
      </c>
      <c r="F14" s="9"/>
      <c r="G14" s="16"/>
      <c r="H14" s="9"/>
      <c r="I14" s="16"/>
      <c r="J14" s="9"/>
      <c r="K14" s="16"/>
      <c r="M14" s="38"/>
      <c r="O14" s="38"/>
    </row>
    <row r="15">
      <c r="A15" s="33">
        <v>0.0</v>
      </c>
      <c r="B15" s="32"/>
      <c r="C15" s="11">
        <f>  1070.33-(  1070.33*13%)</f>
        <v>931.1871</v>
      </c>
      <c r="D15" s="10"/>
      <c r="E15" s="15">
        <v>795.79</v>
      </c>
      <c r="F15" s="9"/>
      <c r="G15" s="16"/>
      <c r="H15" s="9"/>
      <c r="I15" s="16"/>
      <c r="J15" s="9"/>
      <c r="K15" s="16"/>
      <c r="M15" s="38"/>
      <c r="O15" s="38"/>
    </row>
    <row r="16">
      <c r="A16" s="33">
        <v>0.0</v>
      </c>
      <c r="B16" s="32"/>
      <c r="C16" s="33">
        <v>-879.91</v>
      </c>
      <c r="D16" s="9"/>
      <c r="E16" s="16">
        <v>0.0</v>
      </c>
      <c r="F16" s="9"/>
      <c r="G16" s="16"/>
      <c r="H16" s="9"/>
      <c r="I16" s="16"/>
      <c r="J16" s="9"/>
      <c r="K16" s="16"/>
      <c r="M16" s="38"/>
      <c r="O16" s="38"/>
    </row>
    <row r="17">
      <c r="A17" s="33">
        <v>0.0</v>
      </c>
      <c r="B17" s="32"/>
      <c r="C17" s="33">
        <v>0.0</v>
      </c>
      <c r="D17" s="10"/>
      <c r="E17" s="16">
        <v>0.0</v>
      </c>
      <c r="F17" s="9"/>
      <c r="G17" s="16"/>
      <c r="H17" s="9"/>
      <c r="I17" s="16"/>
      <c r="J17" s="9"/>
      <c r="K17" s="16"/>
      <c r="M17" s="38"/>
      <c r="O17" s="38"/>
    </row>
    <row r="18">
      <c r="A18" s="33">
        <v>0.0</v>
      </c>
      <c r="B18" s="31"/>
      <c r="C18" s="33">
        <v>0.0</v>
      </c>
      <c r="D18" s="10"/>
      <c r="E18" s="16">
        <v>0.0</v>
      </c>
      <c r="F18" s="9"/>
      <c r="G18" s="16"/>
      <c r="H18" s="27"/>
      <c r="I18" s="19" t="s">
        <v>4</v>
      </c>
      <c r="J18" s="9"/>
      <c r="K18" s="16"/>
      <c r="M18" s="38"/>
      <c r="O18" s="38"/>
    </row>
    <row r="19">
      <c r="A19" s="33">
        <v>0.0</v>
      </c>
      <c r="B19" s="32"/>
      <c r="C19" s="33">
        <v>0.0</v>
      </c>
      <c r="D19" s="9"/>
      <c r="E19" s="16">
        <v>0.0</v>
      </c>
      <c r="F19" s="9"/>
      <c r="G19" s="16"/>
      <c r="H19" s="28"/>
      <c r="I19" s="19" t="s">
        <v>6</v>
      </c>
      <c r="J19" s="9"/>
      <c r="K19" s="16"/>
      <c r="M19" s="38"/>
      <c r="O19" s="38"/>
    </row>
    <row r="20">
      <c r="A20" s="33">
        <v>0.0</v>
      </c>
      <c r="B20" s="32"/>
      <c r="C20" s="33">
        <v>0.0</v>
      </c>
      <c r="D20" s="9"/>
      <c r="E20" s="16">
        <v>0.0</v>
      </c>
      <c r="F20" s="9"/>
      <c r="G20" s="16"/>
      <c r="H20" s="29"/>
      <c r="I20" s="19" t="s">
        <v>7</v>
      </c>
      <c r="J20" s="9"/>
      <c r="K20" s="16"/>
      <c r="M20" s="38"/>
      <c r="O20" s="38"/>
    </row>
    <row r="21">
      <c r="A21" s="33">
        <v>0.0</v>
      </c>
      <c r="B21" s="32"/>
      <c r="C21" s="33">
        <v>0.0</v>
      </c>
      <c r="D21" s="9"/>
      <c r="E21" s="16">
        <v>0.0</v>
      </c>
      <c r="F21" s="9"/>
      <c r="G21" s="16"/>
      <c r="H21" s="9"/>
      <c r="I21" s="16"/>
      <c r="J21" s="9"/>
      <c r="K21" s="16"/>
      <c r="M21" s="38"/>
      <c r="O21" s="38"/>
    </row>
    <row r="22">
      <c r="A22" s="33">
        <v>0.0</v>
      </c>
      <c r="B22" s="31"/>
      <c r="C22" s="33">
        <v>0.0</v>
      </c>
      <c r="D22" s="9"/>
      <c r="E22" s="16">
        <v>0.0</v>
      </c>
      <c r="F22" s="9"/>
      <c r="G22" s="16"/>
      <c r="H22" s="9"/>
      <c r="I22" s="16"/>
      <c r="J22" s="9"/>
      <c r="K22" s="16"/>
      <c r="M22" s="38"/>
      <c r="O22" s="38"/>
    </row>
    <row r="23">
      <c r="A23" s="33">
        <v>0.0</v>
      </c>
      <c r="B23" s="31"/>
      <c r="C23" s="33">
        <v>0.0</v>
      </c>
      <c r="D23" s="9"/>
      <c r="E23" s="16">
        <v>0.0</v>
      </c>
      <c r="F23" s="9"/>
      <c r="G23" s="16"/>
      <c r="H23" s="9"/>
      <c r="I23" s="16"/>
      <c r="J23" s="9"/>
      <c r="K23" s="16"/>
      <c r="M23" s="38"/>
      <c r="O23" s="38"/>
    </row>
    <row r="24">
      <c r="A24" s="19">
        <v>0.0</v>
      </c>
      <c r="B24" s="9"/>
      <c r="C24" s="19">
        <v>0.0</v>
      </c>
      <c r="D24" s="9"/>
      <c r="E24" s="16">
        <v>0.0</v>
      </c>
      <c r="F24" s="9"/>
      <c r="G24" s="16"/>
      <c r="H24" s="9"/>
      <c r="I24" s="16"/>
      <c r="J24" s="9"/>
      <c r="K24" s="16"/>
      <c r="M24" s="38"/>
      <c r="O24" s="38"/>
    </row>
    <row r="25">
      <c r="A25" s="19">
        <v>0.0</v>
      </c>
      <c r="B25" s="9"/>
      <c r="C25" s="19">
        <v>0.0</v>
      </c>
      <c r="D25" s="9"/>
      <c r="E25" s="16">
        <v>0.0</v>
      </c>
      <c r="F25" s="9"/>
      <c r="G25" s="16"/>
      <c r="H25" s="9"/>
      <c r="I25" s="16"/>
      <c r="J25" s="9"/>
      <c r="K25" s="16"/>
      <c r="M25" s="38"/>
      <c r="O25" s="38"/>
    </row>
    <row r="26">
      <c r="A26" s="19">
        <v>0.0</v>
      </c>
      <c r="B26" s="9"/>
      <c r="C26" s="19">
        <v>0.0</v>
      </c>
      <c r="D26" s="9"/>
      <c r="E26" s="16">
        <v>0.0</v>
      </c>
      <c r="F26" s="9"/>
      <c r="G26" s="16"/>
      <c r="H26" s="9"/>
      <c r="I26" s="16"/>
      <c r="J26" s="9"/>
      <c r="K26" s="16"/>
      <c r="M26" s="38"/>
      <c r="O26" s="38"/>
    </row>
    <row r="27">
      <c r="A27" s="19">
        <v>0.0</v>
      </c>
      <c r="B27" s="9"/>
      <c r="C27" s="19">
        <v>0.0</v>
      </c>
      <c r="D27" s="9"/>
      <c r="E27" s="16">
        <v>0.0</v>
      </c>
      <c r="F27" s="9"/>
      <c r="G27" s="16"/>
      <c r="H27" s="9"/>
      <c r="I27" s="16"/>
      <c r="J27" s="9"/>
      <c r="K27" s="16"/>
      <c r="M27" s="38"/>
      <c r="O27" s="38"/>
    </row>
    <row r="28">
      <c r="A28" s="19">
        <v>0.0</v>
      </c>
      <c r="B28" s="9"/>
      <c r="C28" s="19">
        <v>0.0</v>
      </c>
      <c r="D28" s="9"/>
      <c r="E28" s="16">
        <v>0.0</v>
      </c>
      <c r="F28" s="9"/>
      <c r="G28" s="16"/>
      <c r="H28" s="9"/>
      <c r="I28" s="16"/>
      <c r="J28" s="9"/>
      <c r="K28" s="16"/>
      <c r="M28" s="38"/>
      <c r="O28" s="38"/>
    </row>
    <row r="29">
      <c r="A29" s="19">
        <v>0.0</v>
      </c>
      <c r="B29" s="9"/>
      <c r="C29" s="19">
        <v>0.0</v>
      </c>
      <c r="D29" s="9"/>
      <c r="E29" s="16">
        <v>0.0</v>
      </c>
      <c r="F29" s="9"/>
      <c r="G29" s="16"/>
      <c r="H29" s="9"/>
      <c r="I29" s="16"/>
      <c r="J29" s="9"/>
      <c r="K29" s="16"/>
      <c r="M29" s="38"/>
      <c r="O29" s="38"/>
    </row>
    <row r="30">
      <c r="A30" s="21">
        <f>SUM(A3:A29)</f>
        <v>2647.0457</v>
      </c>
      <c r="B30" s="21"/>
      <c r="C30" s="21">
        <f>SUM(C3:C29)</f>
        <v>2931.6578</v>
      </c>
      <c r="D30" s="21"/>
      <c r="E30" s="21">
        <f>SUM(E3:E29)</f>
        <v>4784.865</v>
      </c>
      <c r="F30" s="21"/>
      <c r="G30" s="21"/>
      <c r="H30" s="9"/>
      <c r="I30" s="21"/>
      <c r="J30" s="9"/>
      <c r="K30" s="21"/>
      <c r="M30" s="39"/>
      <c r="O30" s="39"/>
    </row>
    <row r="31">
      <c r="A31" s="8" t="s">
        <v>8</v>
      </c>
      <c r="B31" s="23">
        <f>A30+C30+E30+G30+I30+K30</f>
        <v>10363.5685</v>
      </c>
    </row>
    <row r="32">
      <c r="A32" s="24">
        <f>(A30-1859.2)*18%</f>
        <v>141.812226</v>
      </c>
      <c r="B32" s="41"/>
      <c r="C32" s="24">
        <f>(C30-1918.89)*18%</f>
        <v>182.298204</v>
      </c>
      <c r="D32" s="41"/>
      <c r="E32" s="41">
        <f>(E30-1825.84)*18%</f>
        <v>532.6245</v>
      </c>
    </row>
    <row r="34">
      <c r="A34" s="25" t="s">
        <v>9</v>
      </c>
      <c r="C34" s="25" t="s">
        <v>9</v>
      </c>
    </row>
    <row r="35">
      <c r="D35" s="25" t="s">
        <v>3</v>
      </c>
      <c r="E35" s="26">
        <f>B31</f>
        <v>10363.5685</v>
      </c>
      <c r="F35" s="26">
        <v>10363.5685</v>
      </c>
    </row>
    <row r="36">
      <c r="D36" s="25" t="s">
        <v>5</v>
      </c>
      <c r="E36" s="26">
        <f>A32+C32+E32+G32+I32+K32</f>
        <v>856.73493</v>
      </c>
      <c r="F36" s="26">
        <v>856.7349299999998</v>
      </c>
    </row>
  </sheetData>
  <mergeCells count="2">
    <mergeCell ref="A1:K1"/>
    <mergeCell ref="B31:K3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4" max="4" width="19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1311.0</v>
      </c>
      <c r="B2" s="5"/>
      <c r="C2" s="6">
        <v>1312.0</v>
      </c>
      <c r="D2" s="7"/>
      <c r="E2" s="6">
        <v>1419.0</v>
      </c>
      <c r="F2" s="31"/>
      <c r="G2" s="8"/>
      <c r="H2" s="22"/>
      <c r="I2" s="35"/>
      <c r="J2" s="22"/>
      <c r="K2" s="35"/>
      <c r="L2" s="9"/>
      <c r="M2" s="10"/>
      <c r="N2" s="9"/>
      <c r="O2" s="10"/>
    </row>
    <row r="3">
      <c r="A3" s="11">
        <f>1406.07-(1406.07*16%)</f>
        <v>1181.0988</v>
      </c>
      <c r="B3" s="12"/>
      <c r="C3" s="11">
        <f>(566.89)/2*1</f>
        <v>283.445</v>
      </c>
      <c r="D3" s="9"/>
      <c r="E3" s="14">
        <f>345.36-(345.36*13%)</f>
        <v>300.4632</v>
      </c>
      <c r="F3" s="9"/>
      <c r="G3" s="16"/>
      <c r="H3" s="9"/>
      <c r="I3" s="16"/>
      <c r="J3" s="9"/>
      <c r="K3" s="16"/>
      <c r="L3" s="9"/>
      <c r="M3" s="16"/>
      <c r="N3" s="9"/>
      <c r="O3" s="16"/>
    </row>
    <row r="4">
      <c r="A4" s="11">
        <f>173.88-(173.88*16%)</f>
        <v>146.0592</v>
      </c>
      <c r="B4" s="12"/>
      <c r="C4" s="11">
        <f>1064.41-(1064.41*16%)</f>
        <v>894.1044</v>
      </c>
      <c r="D4" s="9"/>
      <c r="E4" s="14">
        <f>186.3
-(186.3
*13%)</f>
        <v>162.081</v>
      </c>
      <c r="F4" s="9"/>
      <c r="G4" s="16"/>
      <c r="H4" s="9"/>
      <c r="I4" s="16"/>
      <c r="J4" s="9"/>
      <c r="K4" s="16"/>
      <c r="L4" s="9"/>
      <c r="M4" s="16"/>
      <c r="N4" s="9"/>
      <c r="O4" s="16"/>
    </row>
    <row r="5">
      <c r="A5" s="11">
        <f>382.95-(382.95*16%)</f>
        <v>321.678</v>
      </c>
      <c r="B5" s="12"/>
      <c r="C5" s="11">
        <f>230.91-(230.91*16%)</f>
        <v>193.9644</v>
      </c>
      <c r="D5" s="9"/>
      <c r="E5" s="14">
        <f> 662.6-( 662.6*13%)</f>
        <v>576.462</v>
      </c>
      <c r="F5" s="9"/>
      <c r="G5" s="16"/>
      <c r="H5" s="9"/>
      <c r="I5" s="16"/>
      <c r="J5" s="9"/>
      <c r="K5" s="16"/>
      <c r="L5" s="9"/>
      <c r="M5" s="16"/>
      <c r="N5" s="9"/>
      <c r="O5" s="16"/>
    </row>
    <row r="6">
      <c r="A6" s="11">
        <f>884.95-(884.95*16%)</f>
        <v>743.358</v>
      </c>
      <c r="B6" s="19"/>
      <c r="C6" s="17">
        <f t="shared" ref="C6:C7" si="1">230-(230*10%)</f>
        <v>207</v>
      </c>
      <c r="D6" s="10"/>
      <c r="E6" s="14">
        <f>186.3
-(186.3
*13%)</f>
        <v>162.081</v>
      </c>
      <c r="F6" s="9"/>
      <c r="G6" s="16"/>
      <c r="H6" s="9"/>
      <c r="I6" s="16"/>
      <c r="J6" s="9"/>
      <c r="K6" s="16"/>
      <c r="L6" s="9"/>
      <c r="M6" s="16"/>
      <c r="N6" s="9"/>
      <c r="O6" s="16"/>
    </row>
    <row r="7">
      <c r="A7" s="11">
        <f>217.35-(217.35*16%)</f>
        <v>182.574</v>
      </c>
      <c r="B7" s="19"/>
      <c r="C7" s="17">
        <f t="shared" si="1"/>
        <v>207</v>
      </c>
      <c r="D7" s="9"/>
      <c r="E7" s="14">
        <f>196.65-(196.65*13%)</f>
        <v>171.0855</v>
      </c>
      <c r="F7" s="9"/>
      <c r="G7" s="16"/>
      <c r="H7" s="9"/>
      <c r="I7" s="16"/>
      <c r="J7" s="9"/>
      <c r="K7" s="16"/>
      <c r="L7" s="9"/>
      <c r="M7" s="16"/>
      <c r="N7" s="9"/>
      <c r="O7" s="16"/>
    </row>
    <row r="8">
      <c r="A8" s="11">
        <f>144.9-(144.9*16%)</f>
        <v>121.716</v>
      </c>
      <c r="B8" s="9"/>
      <c r="C8" s="11">
        <f> 678.3-( 678.3*16%)</f>
        <v>569.772</v>
      </c>
      <c r="D8" s="10"/>
      <c r="E8" s="14">
        <f>165.6-(165.6*13%)</f>
        <v>144.072</v>
      </c>
      <c r="F8" s="9"/>
      <c r="G8" s="16"/>
      <c r="H8" s="9"/>
      <c r="I8" s="16"/>
      <c r="J8" s="9"/>
      <c r="K8" s="16"/>
      <c r="L8" s="9"/>
      <c r="M8" s="16"/>
      <c r="N8" s="9"/>
      <c r="O8" s="16"/>
    </row>
    <row r="9">
      <c r="A9" s="11">
        <f>662.61-(662.61*16%)</f>
        <v>556.5924</v>
      </c>
      <c r="B9" s="12"/>
      <c r="C9" s="11">
        <f> 165.6-( 165.6*16%)</f>
        <v>139.104</v>
      </c>
      <c r="D9" s="10"/>
      <c r="E9" s="14">
        <f>186.3
-(186.3
*13%)</f>
        <v>162.081</v>
      </c>
      <c r="F9" s="9"/>
      <c r="G9" s="16"/>
      <c r="H9" s="9"/>
      <c r="I9" s="16"/>
      <c r="J9" s="9"/>
      <c r="K9" s="16"/>
      <c r="L9" s="9"/>
      <c r="M9" s="16"/>
      <c r="N9" s="9"/>
      <c r="O9" s="16"/>
    </row>
    <row r="10">
      <c r="A10" s="11">
        <f>341.55-(341.55*16%)</f>
        <v>286.902</v>
      </c>
      <c r="B10" s="12"/>
      <c r="C10" s="11">
        <f> 998.99-( 998.99*16%)</f>
        <v>839.1516</v>
      </c>
      <c r="D10" s="9"/>
      <c r="E10" s="14">
        <f>371.46-(371.46*13%)</f>
        <v>323.1702</v>
      </c>
      <c r="F10" s="9"/>
      <c r="G10" s="16"/>
      <c r="H10" s="9"/>
      <c r="I10" s="16"/>
      <c r="J10" s="9"/>
      <c r="K10" s="16"/>
      <c r="L10" s="9"/>
      <c r="M10" s="16"/>
      <c r="N10" s="9"/>
      <c r="O10" s="16"/>
    </row>
    <row r="11">
      <c r="A11" s="19">
        <v>0.0</v>
      </c>
      <c r="B11" s="12"/>
      <c r="C11" s="11">
        <f> 769.33-( 769.33*16%)</f>
        <v>646.2372</v>
      </c>
      <c r="D11" s="9"/>
      <c r="E11" s="14">
        <f>196.65-(196.65*13%)</f>
        <v>171.0855</v>
      </c>
      <c r="F11" s="9"/>
      <c r="G11" s="16"/>
      <c r="H11" s="9"/>
      <c r="I11" s="16"/>
      <c r="J11" s="9"/>
      <c r="K11" s="16"/>
      <c r="L11" s="9"/>
      <c r="M11" s="16"/>
      <c r="N11" s="9"/>
      <c r="O11" s="16"/>
    </row>
    <row r="12">
      <c r="A12" s="19">
        <v>0.0</v>
      </c>
      <c r="B12" s="12"/>
      <c r="C12" s="11">
        <f> 165.6-( 165.6*16%)</f>
        <v>139.104</v>
      </c>
      <c r="D12" s="9"/>
      <c r="E12" s="14">
        <f>186.3
-(186.3
*13%)</f>
        <v>162.081</v>
      </c>
      <c r="F12" s="9"/>
      <c r="G12" s="16"/>
      <c r="H12" s="9"/>
      <c r="I12" s="16"/>
      <c r="J12" s="9"/>
      <c r="K12" s="16"/>
      <c r="L12" s="9"/>
      <c r="M12" s="16"/>
      <c r="N12" s="9"/>
      <c r="O12" s="16"/>
    </row>
    <row r="13">
      <c r="A13" s="19">
        <v>0.0</v>
      </c>
      <c r="B13" s="10"/>
      <c r="C13" s="11">
        <f>217.35-(217.35*16%)</f>
        <v>182.574</v>
      </c>
      <c r="D13" s="9"/>
      <c r="E13" s="15">
        <v>138.04</v>
      </c>
      <c r="F13" s="9"/>
      <c r="G13" s="16"/>
      <c r="H13" s="9"/>
      <c r="I13" s="16"/>
      <c r="J13" s="9"/>
      <c r="K13" s="16"/>
      <c r="L13" s="9"/>
      <c r="M13" s="16"/>
      <c r="N13" s="9"/>
      <c r="O13" s="16"/>
    </row>
    <row r="14">
      <c r="A14" s="19">
        <v>0.0</v>
      </c>
      <c r="B14" s="12"/>
      <c r="C14" s="19">
        <v>0.0</v>
      </c>
      <c r="D14" s="9"/>
      <c r="E14" s="14">
        <f>150.59-(150.59*13%)</f>
        <v>131.0133</v>
      </c>
      <c r="F14" s="9"/>
      <c r="G14" s="16"/>
      <c r="H14" s="9"/>
      <c r="I14" s="16"/>
      <c r="J14" s="9"/>
      <c r="K14" s="16"/>
      <c r="L14" s="9"/>
      <c r="M14" s="16"/>
      <c r="N14" s="9"/>
      <c r="O14" s="16"/>
    </row>
    <row r="15">
      <c r="A15" s="19">
        <v>0.0</v>
      </c>
      <c r="B15" s="12"/>
      <c r="C15" s="19">
        <v>0.0</v>
      </c>
      <c r="D15" s="9"/>
      <c r="E15" s="14">
        <f>200.79-(200.79*13%)</f>
        <v>174.6873</v>
      </c>
      <c r="F15" s="9"/>
      <c r="G15" s="16"/>
      <c r="H15" s="9"/>
      <c r="I15" s="16"/>
      <c r="J15" s="9"/>
      <c r="K15" s="16"/>
      <c r="L15" s="9"/>
      <c r="M15" s="16"/>
      <c r="N15" s="9"/>
      <c r="O15" s="16"/>
    </row>
    <row r="16">
      <c r="A16" s="19">
        <v>0.0</v>
      </c>
      <c r="B16" s="12"/>
      <c r="C16" s="19">
        <v>0.0</v>
      </c>
      <c r="D16" s="9"/>
      <c r="E16" s="15">
        <v>146.77</v>
      </c>
      <c r="F16" s="9"/>
      <c r="G16" s="16"/>
      <c r="H16" s="9"/>
      <c r="I16" s="16"/>
      <c r="J16" s="9"/>
      <c r="K16" s="16"/>
      <c r="L16" s="9"/>
      <c r="M16" s="16"/>
      <c r="N16" s="9"/>
      <c r="O16" s="16"/>
    </row>
    <row r="17">
      <c r="A17" s="19">
        <v>0.0</v>
      </c>
      <c r="B17" s="12"/>
      <c r="C17" s="19">
        <v>0.0</v>
      </c>
      <c r="E17" s="15">
        <v>1205.87</v>
      </c>
      <c r="F17" s="9"/>
      <c r="G17" s="16"/>
      <c r="H17" s="9"/>
      <c r="I17" s="16"/>
      <c r="J17" s="9"/>
      <c r="K17" s="16"/>
      <c r="L17" s="9"/>
      <c r="M17" s="16"/>
      <c r="N17" s="9"/>
      <c r="O17" s="16"/>
    </row>
    <row r="18">
      <c r="A18" s="19">
        <v>0.0</v>
      </c>
      <c r="B18" s="9"/>
      <c r="C18" s="19">
        <v>0.0</v>
      </c>
      <c r="D18" s="9"/>
      <c r="E18" s="16">
        <v>0.0</v>
      </c>
      <c r="F18" s="9"/>
      <c r="G18" s="16"/>
      <c r="H18" s="9"/>
      <c r="I18" s="16"/>
      <c r="J18" s="9"/>
      <c r="K18" s="16"/>
      <c r="L18" s="9"/>
      <c r="M18" s="16"/>
      <c r="N18" s="9"/>
      <c r="O18" s="16"/>
    </row>
    <row r="19">
      <c r="A19" s="19">
        <v>0.0</v>
      </c>
      <c r="B19" s="19"/>
      <c r="C19" s="19">
        <v>0.0</v>
      </c>
      <c r="D19" s="9"/>
      <c r="E19" s="16">
        <v>0.0</v>
      </c>
      <c r="F19" s="9"/>
      <c r="G19" s="16"/>
      <c r="H19" s="9"/>
      <c r="I19" s="16"/>
      <c r="J19" s="9"/>
      <c r="K19" s="16"/>
      <c r="L19" s="9"/>
      <c r="M19" s="16"/>
      <c r="N19" s="9"/>
      <c r="O19" s="16"/>
    </row>
    <row r="20">
      <c r="A20" s="19">
        <v>0.0</v>
      </c>
      <c r="B20" s="12"/>
      <c r="C20" s="19">
        <v>0.0</v>
      </c>
      <c r="D20" s="10"/>
      <c r="E20" s="16">
        <v>0.0</v>
      </c>
      <c r="F20" s="9"/>
      <c r="G20" s="16"/>
      <c r="H20" s="9"/>
      <c r="I20" s="16"/>
      <c r="J20" s="9"/>
      <c r="K20" s="16"/>
      <c r="L20" s="9"/>
      <c r="M20" s="16"/>
      <c r="N20" s="9"/>
      <c r="O20" s="16"/>
    </row>
    <row r="21">
      <c r="A21" s="19">
        <v>0.0</v>
      </c>
      <c r="B21" s="12"/>
      <c r="C21" s="19">
        <v>0.0</v>
      </c>
      <c r="D21" s="9"/>
      <c r="E21" s="16">
        <v>0.0</v>
      </c>
      <c r="F21" s="9"/>
      <c r="G21" s="16"/>
      <c r="H21" s="27"/>
      <c r="I21" s="19" t="s">
        <v>4</v>
      </c>
      <c r="J21" s="9"/>
      <c r="K21" s="16"/>
      <c r="L21" s="9"/>
      <c r="M21" s="16"/>
      <c r="N21" s="9"/>
      <c r="O21" s="16"/>
    </row>
    <row r="22">
      <c r="A22" s="19">
        <v>0.0</v>
      </c>
      <c r="B22" s="9"/>
      <c r="C22" s="19">
        <v>0.0</v>
      </c>
      <c r="D22" s="9"/>
      <c r="E22" s="16">
        <v>0.0</v>
      </c>
      <c r="F22" s="9"/>
      <c r="G22" s="16"/>
      <c r="H22" s="28"/>
      <c r="I22" s="19" t="s">
        <v>6</v>
      </c>
      <c r="J22" s="9"/>
      <c r="K22" s="16"/>
      <c r="L22" s="9"/>
      <c r="M22" s="16"/>
      <c r="N22" s="9"/>
      <c r="O22" s="16"/>
    </row>
    <row r="23">
      <c r="A23" s="19">
        <v>0.0</v>
      </c>
      <c r="B23" s="9"/>
      <c r="C23" s="19">
        <v>0.0</v>
      </c>
      <c r="D23" s="9"/>
      <c r="E23" s="16">
        <v>0.0</v>
      </c>
      <c r="F23" s="9"/>
      <c r="G23" s="16"/>
      <c r="H23" s="29"/>
      <c r="I23" s="19" t="s">
        <v>7</v>
      </c>
      <c r="J23" s="9"/>
      <c r="K23" s="16"/>
      <c r="L23" s="9"/>
      <c r="M23" s="16"/>
      <c r="N23" s="9"/>
      <c r="O23" s="16"/>
    </row>
    <row r="24">
      <c r="A24" s="19">
        <v>0.0</v>
      </c>
      <c r="B24" s="9"/>
      <c r="C24" s="19">
        <v>0.0</v>
      </c>
      <c r="D24" s="9"/>
      <c r="E24" s="16">
        <v>0.0</v>
      </c>
      <c r="F24" s="9"/>
      <c r="G24" s="16"/>
      <c r="H24" s="9"/>
      <c r="I24" s="16"/>
      <c r="J24" s="9"/>
      <c r="K24" s="16"/>
      <c r="L24" s="9"/>
      <c r="M24" s="16"/>
      <c r="N24" s="9"/>
      <c r="O24" s="16"/>
    </row>
    <row r="25">
      <c r="A25" s="19">
        <v>0.0</v>
      </c>
      <c r="B25" s="9"/>
      <c r="C25" s="19">
        <v>0.0</v>
      </c>
      <c r="D25" s="9"/>
      <c r="E25" s="16">
        <v>0.0</v>
      </c>
      <c r="F25" s="9"/>
      <c r="G25" s="16"/>
      <c r="H25" s="9"/>
      <c r="I25" s="16"/>
      <c r="J25" s="9"/>
      <c r="K25" s="16"/>
      <c r="L25" s="9"/>
      <c r="M25" s="16"/>
      <c r="N25" s="9"/>
      <c r="O25" s="16"/>
    </row>
    <row r="26">
      <c r="A26" s="19">
        <v>0.0</v>
      </c>
      <c r="B26" s="9"/>
      <c r="C26" s="19">
        <v>0.0</v>
      </c>
      <c r="D26" s="9"/>
      <c r="E26" s="16">
        <v>0.0</v>
      </c>
      <c r="F26" s="9"/>
      <c r="G26" s="16"/>
      <c r="H26" s="9"/>
      <c r="I26" s="16"/>
      <c r="J26" s="9"/>
      <c r="K26" s="16"/>
      <c r="L26" s="9"/>
      <c r="M26" s="16"/>
      <c r="N26" s="9"/>
      <c r="O26" s="16"/>
    </row>
    <row r="27">
      <c r="A27" s="19">
        <v>0.0</v>
      </c>
      <c r="B27" s="9"/>
      <c r="C27" s="19">
        <v>0.0</v>
      </c>
      <c r="D27" s="9"/>
      <c r="E27" s="16">
        <v>0.0</v>
      </c>
      <c r="F27" s="9"/>
      <c r="G27" s="16"/>
      <c r="H27" s="9"/>
      <c r="I27" s="16"/>
      <c r="J27" s="9"/>
      <c r="K27" s="16"/>
      <c r="L27" s="9"/>
      <c r="M27" s="16"/>
      <c r="N27" s="9"/>
      <c r="O27" s="16"/>
    </row>
    <row r="28">
      <c r="A28" s="19">
        <v>0.0</v>
      </c>
      <c r="B28" s="9"/>
      <c r="C28" s="19">
        <v>0.0</v>
      </c>
      <c r="D28" s="9"/>
      <c r="E28" s="16">
        <v>0.0</v>
      </c>
      <c r="F28" s="9"/>
      <c r="G28" s="16"/>
      <c r="H28" s="9"/>
      <c r="I28" s="16"/>
      <c r="J28" s="9"/>
      <c r="K28" s="16"/>
      <c r="L28" s="9"/>
      <c r="M28" s="16"/>
      <c r="N28" s="9"/>
      <c r="O28" s="16"/>
    </row>
    <row r="29">
      <c r="A29" s="19">
        <v>0.0</v>
      </c>
      <c r="B29" s="9"/>
      <c r="C29" s="19">
        <v>0.0</v>
      </c>
      <c r="D29" s="9"/>
      <c r="E29" s="16">
        <v>0.0</v>
      </c>
      <c r="F29" s="9"/>
      <c r="G29" s="16"/>
      <c r="H29" s="9"/>
      <c r="I29" s="16"/>
      <c r="J29" s="9"/>
      <c r="K29" s="16"/>
      <c r="L29" s="9"/>
      <c r="M29" s="16"/>
      <c r="N29" s="9"/>
      <c r="O29" s="16"/>
    </row>
    <row r="30">
      <c r="A30" s="21">
        <f>SUM(A3:A29)</f>
        <v>3539.9784</v>
      </c>
      <c r="B30" s="21"/>
      <c r="C30" s="21">
        <f>SUM(C3:C29)</f>
        <v>4301.4566</v>
      </c>
      <c r="D30" s="21"/>
      <c r="E30" s="21">
        <f>SUM(E3:E29)</f>
        <v>4131.043</v>
      </c>
      <c r="F30" s="21"/>
      <c r="G30" s="21"/>
      <c r="H30" s="9"/>
      <c r="I30" s="21"/>
      <c r="J30" s="9"/>
      <c r="K30" s="21"/>
      <c r="L30" s="9"/>
      <c r="M30" s="21"/>
      <c r="N30" s="9"/>
      <c r="O30" s="21"/>
    </row>
    <row r="31">
      <c r="A31" s="42" t="s">
        <v>8</v>
      </c>
      <c r="B31" s="43">
        <f>A30+C30+E30+G30+I30+K30</f>
        <v>11972.478</v>
      </c>
      <c r="C31" s="2"/>
      <c r="D31" s="2"/>
      <c r="E31" s="2"/>
      <c r="F31" s="2"/>
      <c r="G31" s="2"/>
      <c r="H31" s="2"/>
      <c r="I31" s="2"/>
      <c r="J31" s="2"/>
      <c r="K31" s="3"/>
      <c r="L31" s="7"/>
      <c r="M31" s="7"/>
      <c r="N31" s="7"/>
      <c r="O31" s="7"/>
    </row>
    <row r="32">
      <c r="A32" s="44">
        <f>(A30)*12%</f>
        <v>424.797408</v>
      </c>
      <c r="B32" s="30"/>
      <c r="C32" s="44">
        <f>(C30)*15%</f>
        <v>645.21849</v>
      </c>
      <c r="D32" s="30"/>
      <c r="E32" s="44">
        <f>(E30)*12%</f>
        <v>495.72516</v>
      </c>
    </row>
    <row r="33">
      <c r="A33" s="25" t="s">
        <v>9</v>
      </c>
      <c r="C33" s="25" t="s">
        <v>9</v>
      </c>
      <c r="E33" s="25" t="s">
        <v>9</v>
      </c>
    </row>
    <row r="35">
      <c r="D35" s="25" t="s">
        <v>3</v>
      </c>
      <c r="E35" s="26">
        <f>B31</f>
        <v>11972.478</v>
      </c>
      <c r="F35" s="38">
        <v>11972.478</v>
      </c>
    </row>
    <row r="36">
      <c r="D36" s="25" t="s">
        <v>5</v>
      </c>
      <c r="E36" s="26">
        <f>A32+C32+E32+G32+I32+K32</f>
        <v>1565.741058</v>
      </c>
      <c r="F36" s="38">
        <v>1565.7410579999998</v>
      </c>
    </row>
  </sheetData>
  <mergeCells count="2">
    <mergeCell ref="A1:K1"/>
    <mergeCell ref="B31:K3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8" max="8" width="17.63"/>
    <col customWidth="1" min="10" max="10" width="18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5" t="s">
        <v>10</v>
      </c>
      <c r="B2" s="5"/>
      <c r="C2" s="8">
        <v>1615.0</v>
      </c>
      <c r="D2" s="7"/>
      <c r="E2" s="6" t="s">
        <v>11</v>
      </c>
      <c r="F2" s="7"/>
      <c r="G2" s="6">
        <v>1605.0</v>
      </c>
      <c r="H2" s="7"/>
      <c r="I2" s="8">
        <v>1701.0</v>
      </c>
      <c r="J2" s="7"/>
      <c r="K2" s="8" t="s">
        <v>12</v>
      </c>
      <c r="L2" s="37"/>
      <c r="M2" s="6" t="s">
        <v>13</v>
      </c>
      <c r="O2" s="10"/>
    </row>
    <row r="3">
      <c r="A3" s="11">
        <f> 184-( 184*16%)</f>
        <v>154.56</v>
      </c>
      <c r="B3" s="32"/>
      <c r="C3" s="11">
        <f>264.5-(264.5*16%)</f>
        <v>222.18</v>
      </c>
      <c r="D3" s="31"/>
      <c r="E3" s="15">
        <f>(1266.06)/2*1</f>
        <v>633.03</v>
      </c>
      <c r="F3" s="9"/>
      <c r="G3" s="14">
        <f>264.5-(264.5*16%)</f>
        <v>222.18</v>
      </c>
      <c r="H3" s="9"/>
      <c r="I3" s="14">
        <f>359.83-(359.83*16%)</f>
        <v>302.2572</v>
      </c>
      <c r="J3" s="9"/>
      <c r="K3" s="15">
        <f>(562.7)/2*1</f>
        <v>281.35</v>
      </c>
      <c r="M3" s="16">
        <v>0.0</v>
      </c>
      <c r="O3" s="38"/>
    </row>
    <row r="4">
      <c r="A4" s="11">
        <f>  253-(  253*16%)</f>
        <v>212.52</v>
      </c>
      <c r="B4" s="12"/>
      <c r="C4" s="11">
        <f>167.32-(167.32*16%)</f>
        <v>140.5488</v>
      </c>
      <c r="D4" s="9"/>
      <c r="E4" s="14">
        <f>592.25-(592.25*16%)</f>
        <v>497.49</v>
      </c>
      <c r="F4" s="9"/>
      <c r="G4" s="14">
        <f>  253-(  253*16%)</f>
        <v>212.52</v>
      </c>
      <c r="H4" s="9"/>
      <c r="I4" s="15">
        <v>151.3</v>
      </c>
      <c r="J4" s="9"/>
      <c r="K4" s="14">
        <f> 372.59-( 372.59*16%)</f>
        <v>312.9756</v>
      </c>
      <c r="M4" s="16">
        <v>0.0</v>
      </c>
      <c r="O4" s="38"/>
    </row>
    <row r="5">
      <c r="A5" s="11">
        <f>  200.79-(  200.79*16%)</f>
        <v>168.6636</v>
      </c>
      <c r="B5" s="12"/>
      <c r="C5" s="11">
        <f>382.38-(382.38*16%)</f>
        <v>321.1992</v>
      </c>
      <c r="D5" s="9"/>
      <c r="E5" s="14">
        <f>717.6-(717.6*16%)</f>
        <v>602.784</v>
      </c>
      <c r="F5" s="9"/>
      <c r="G5" s="14">
        <f> 230
-( 230
*16%)</f>
        <v>193.2</v>
      </c>
      <c r="H5" s="9"/>
      <c r="I5" s="14">
        <f>911.37-(911.37*16%)</f>
        <v>765.5508</v>
      </c>
      <c r="J5" s="9"/>
      <c r="K5" s="14">
        <f>  207-(  207*16%)</f>
        <v>173.88</v>
      </c>
      <c r="M5" s="16">
        <v>0.0</v>
      </c>
      <c r="O5" s="38"/>
    </row>
    <row r="6">
      <c r="A6" s="11">
        <f>  360.53-(  360.53*16%)</f>
        <v>302.8452</v>
      </c>
      <c r="B6" s="19"/>
      <c r="C6" s="11">
        <f>619.47-(619.47*16%)</f>
        <v>520.3548</v>
      </c>
      <c r="D6" s="9"/>
      <c r="E6" s="14">
        <f>517.5-(517.5*16%)</f>
        <v>434.7</v>
      </c>
      <c r="F6" s="9"/>
      <c r="G6" s="14">
        <f>  207-(  207*16%)</f>
        <v>173.88</v>
      </c>
      <c r="I6" s="14">
        <f>218.5-(218.5*16%)</f>
        <v>183.54</v>
      </c>
      <c r="J6" s="10"/>
      <c r="K6" s="14">
        <f> 360.31-( 360.31*16%)</f>
        <v>302.6604</v>
      </c>
      <c r="M6" s="16">
        <v>0.0</v>
      </c>
      <c r="O6" s="38"/>
    </row>
    <row r="7">
      <c r="A7" s="11">
        <f>218.5-(218.5*16%)</f>
        <v>183.54</v>
      </c>
      <c r="B7" s="19"/>
      <c r="C7" s="11">
        <f>698.25-(698.25*16%)</f>
        <v>586.53</v>
      </c>
      <c r="D7" s="9"/>
      <c r="E7" s="14">
        <f>368-(368*16%)</f>
        <v>309.12</v>
      </c>
      <c r="F7" s="9"/>
      <c r="G7" s="14">
        <f> 230
-( 230
*16%)</f>
        <v>193.2</v>
      </c>
      <c r="H7" s="9"/>
      <c r="I7" s="14">
        <f>1613.65-(1613.65*16%)</f>
        <v>1355.466</v>
      </c>
      <c r="J7" s="9"/>
      <c r="K7" s="14">
        <f>167.32-(167.32*16%)</f>
        <v>140.5488</v>
      </c>
      <c r="M7" s="16">
        <v>0.0</v>
      </c>
      <c r="O7" s="38"/>
    </row>
    <row r="8">
      <c r="A8" s="11">
        <f>   1027.94-(   1027.94*16%)</f>
        <v>863.4696</v>
      </c>
      <c r="B8" s="10"/>
      <c r="C8" s="11">
        <f>721.05-(721.05*16%)</f>
        <v>605.682</v>
      </c>
      <c r="D8" s="9"/>
      <c r="E8" s="14">
        <f>353.05-(353.05*16%)</f>
        <v>296.562</v>
      </c>
      <c r="F8" s="9"/>
      <c r="G8" s="15">
        <v>189.74</v>
      </c>
      <c r="H8" s="10"/>
      <c r="I8" s="14">
        <f> 181.12-( 181.12*16%)</f>
        <v>152.1408</v>
      </c>
      <c r="J8" s="9"/>
      <c r="K8" s="14">
        <f>  156.17-(  156.17*16%)</f>
        <v>131.1828</v>
      </c>
      <c r="M8" s="16">
        <v>0.0</v>
      </c>
      <c r="O8" s="38"/>
    </row>
    <row r="9">
      <c r="A9" s="19">
        <v>0.0</v>
      </c>
      <c r="B9" s="12"/>
      <c r="C9" s="11">
        <f> 356.5-( 356.5*16%)</f>
        <v>299.46</v>
      </c>
      <c r="D9" s="9"/>
      <c r="E9" s="14">
        <f>517.5-(517.5*16%)</f>
        <v>434.7</v>
      </c>
      <c r="F9" s="9"/>
      <c r="G9" s="15">
        <v>322.25</v>
      </c>
      <c r="H9" s="45"/>
      <c r="I9" s="14">
        <f> 245.97-( 245.97*16%)</f>
        <v>206.6148</v>
      </c>
      <c r="J9" s="9"/>
      <c r="K9" s="14">
        <f>218.5-(218.5*16%)</f>
        <v>183.54</v>
      </c>
      <c r="M9" s="16">
        <v>0.0</v>
      </c>
      <c r="O9" s="38"/>
    </row>
    <row r="10">
      <c r="A10" s="19">
        <v>0.0</v>
      </c>
      <c r="B10" s="12"/>
      <c r="C10" s="11">
        <f>(516.3)/3*2</f>
        <v>344.2</v>
      </c>
      <c r="D10" s="9"/>
      <c r="E10" s="44">
        <v>0.0</v>
      </c>
      <c r="F10" s="9"/>
      <c r="G10" s="14">
        <f> 229.43-( 229.43*16%)</f>
        <v>192.7212</v>
      </c>
      <c r="H10" s="9"/>
      <c r="I10" s="14">
        <f>  1335.26-(  1335.26*16%)</f>
        <v>1121.6184</v>
      </c>
      <c r="J10" s="9"/>
      <c r="K10" s="14">
        <f>  214-(  214*16%)</f>
        <v>179.76</v>
      </c>
      <c r="M10" s="16">
        <v>0.0</v>
      </c>
      <c r="O10" s="38"/>
    </row>
    <row r="11">
      <c r="A11" s="19">
        <v>0.0</v>
      </c>
      <c r="B11" s="12"/>
      <c r="C11" s="19">
        <v>0.0</v>
      </c>
      <c r="D11" s="9"/>
      <c r="E11" s="44">
        <v>0.0</v>
      </c>
      <c r="F11" s="9"/>
      <c r="G11" s="14">
        <f> 699.42-( 699.42*16%)</f>
        <v>587.5128</v>
      </c>
      <c r="H11" s="9"/>
      <c r="I11" s="14">
        <f>  193.2-(  193.2*16%)</f>
        <v>162.288</v>
      </c>
      <c r="J11" s="9"/>
      <c r="K11" s="15">
        <v>142.31</v>
      </c>
      <c r="L11" s="16"/>
      <c r="M11" s="16">
        <v>0.0</v>
      </c>
      <c r="O11" s="38"/>
    </row>
    <row r="12">
      <c r="A12" s="19">
        <v>0.0</v>
      </c>
      <c r="B12" s="12"/>
      <c r="C12" s="19">
        <v>0.0</v>
      </c>
      <c r="D12" s="9"/>
      <c r="E12" s="44">
        <v>0.0</v>
      </c>
      <c r="F12" s="9"/>
      <c r="G12" s="15">
        <v>265.0</v>
      </c>
      <c r="H12" s="10"/>
      <c r="I12" s="14">
        <f> 230
-( 230
*16%)</f>
        <v>193.2</v>
      </c>
      <c r="J12" s="9"/>
      <c r="K12" s="14">
        <f>161-(161*16%)</f>
        <v>135.24</v>
      </c>
      <c r="L12" s="16"/>
      <c r="M12" s="16">
        <v>0.0</v>
      </c>
      <c r="O12" s="38"/>
    </row>
    <row r="13">
      <c r="A13" s="19">
        <v>0.0</v>
      </c>
      <c r="B13" s="9"/>
      <c r="C13" s="19">
        <v>0.0</v>
      </c>
      <c r="D13" s="9"/>
      <c r="E13" s="44">
        <v>0.0</v>
      </c>
      <c r="F13" s="9"/>
      <c r="G13" s="14">
        <f>267.72-(267.72*16%)</f>
        <v>224.8848</v>
      </c>
      <c r="H13" s="9"/>
      <c r="I13" s="16">
        <v>0.0</v>
      </c>
      <c r="J13" s="9"/>
      <c r="K13" s="18">
        <f>320.1-(320.1*10%)</f>
        <v>288.09</v>
      </c>
      <c r="L13" s="16"/>
      <c r="M13" s="16">
        <v>0.0</v>
      </c>
      <c r="O13" s="38"/>
    </row>
    <row r="14">
      <c r="A14" s="19">
        <v>0.0</v>
      </c>
      <c r="B14" s="12"/>
      <c r="C14" s="19">
        <v>0.0</v>
      </c>
      <c r="D14" s="9"/>
      <c r="E14" s="44">
        <v>0.0</v>
      </c>
      <c r="F14" s="9"/>
      <c r="G14" s="16">
        <v>0.0</v>
      </c>
      <c r="H14" s="9"/>
      <c r="I14" s="16">
        <v>0.0</v>
      </c>
      <c r="J14" s="9"/>
      <c r="K14" s="14">
        <f>699.2-(699.2*16%)</f>
        <v>587.328</v>
      </c>
      <c r="L14" s="16"/>
      <c r="M14" s="16">
        <v>0.0</v>
      </c>
      <c r="O14" s="38"/>
    </row>
    <row r="15">
      <c r="A15" s="19">
        <v>0.0</v>
      </c>
      <c r="B15" s="12"/>
      <c r="C15" s="19">
        <v>0.0</v>
      </c>
      <c r="D15" s="9"/>
      <c r="E15" s="44">
        <v>0.0</v>
      </c>
      <c r="F15" s="9"/>
      <c r="G15" s="16">
        <v>0.0</v>
      </c>
      <c r="H15" s="9"/>
      <c r="I15" s="16">
        <v>0.0</v>
      </c>
      <c r="J15" s="9"/>
      <c r="K15" s="14">
        <f> 356.5-( 356.5*16%)</f>
        <v>299.46</v>
      </c>
      <c r="L15" s="16"/>
      <c r="M15" s="16">
        <v>0.0</v>
      </c>
      <c r="O15" s="38"/>
    </row>
    <row r="16">
      <c r="A16" s="19">
        <v>0.0</v>
      </c>
      <c r="B16" s="12"/>
      <c r="C16" s="19">
        <v>0.0</v>
      </c>
      <c r="D16" s="9"/>
      <c r="E16" s="44">
        <v>0.0</v>
      </c>
      <c r="F16" s="9"/>
      <c r="G16" s="16">
        <v>0.0</v>
      </c>
      <c r="H16" s="12"/>
      <c r="I16" s="16">
        <v>0.0</v>
      </c>
      <c r="J16" s="9"/>
      <c r="K16" s="16">
        <v>0.0</v>
      </c>
      <c r="L16" s="16"/>
      <c r="M16" s="16">
        <v>0.0</v>
      </c>
      <c r="O16" s="38"/>
    </row>
    <row r="17">
      <c r="A17" s="19">
        <v>0.0</v>
      </c>
      <c r="B17" s="12"/>
      <c r="C17" s="19">
        <v>0.0</v>
      </c>
      <c r="D17" s="9"/>
      <c r="E17" s="44">
        <v>0.0</v>
      </c>
      <c r="F17" s="9"/>
      <c r="G17" s="16">
        <v>0.0</v>
      </c>
      <c r="H17" s="9"/>
      <c r="I17" s="16">
        <v>0.0</v>
      </c>
      <c r="J17" s="9"/>
      <c r="K17" s="16">
        <v>0.0</v>
      </c>
      <c r="L17" s="16"/>
      <c r="M17" s="16">
        <v>0.0</v>
      </c>
      <c r="O17" s="38"/>
    </row>
    <row r="18">
      <c r="A18" s="19">
        <v>0.0</v>
      </c>
      <c r="B18" s="9"/>
      <c r="C18" s="19">
        <v>0.0</v>
      </c>
      <c r="D18" s="9"/>
      <c r="E18" s="44">
        <v>0.0</v>
      </c>
      <c r="F18" s="9"/>
      <c r="G18" s="16">
        <v>0.0</v>
      </c>
      <c r="H18" s="9"/>
      <c r="I18" s="16">
        <v>0.0</v>
      </c>
      <c r="J18" s="9"/>
      <c r="K18" s="16">
        <v>0.0</v>
      </c>
      <c r="L18" s="16"/>
      <c r="M18" s="16">
        <v>0.0</v>
      </c>
      <c r="O18" s="38"/>
    </row>
    <row r="19">
      <c r="A19" s="19">
        <v>0.0</v>
      </c>
      <c r="B19" s="12"/>
      <c r="C19" s="19">
        <v>0.0</v>
      </c>
      <c r="D19" s="9"/>
      <c r="E19" s="44">
        <v>0.0</v>
      </c>
      <c r="F19" s="9"/>
      <c r="G19" s="16">
        <v>0.0</v>
      </c>
      <c r="H19" s="9"/>
      <c r="I19" s="16">
        <v>0.0</v>
      </c>
      <c r="J19" s="9"/>
      <c r="K19" s="16">
        <v>0.0</v>
      </c>
      <c r="L19" s="16"/>
      <c r="M19" s="16">
        <v>0.0</v>
      </c>
      <c r="O19" s="38"/>
    </row>
    <row r="20">
      <c r="A20" s="19">
        <v>0.0</v>
      </c>
      <c r="B20" s="12"/>
      <c r="C20" s="19">
        <v>0.0</v>
      </c>
      <c r="D20" s="9"/>
      <c r="E20" s="44">
        <v>0.0</v>
      </c>
      <c r="F20" s="9"/>
      <c r="G20" s="16">
        <v>0.0</v>
      </c>
      <c r="H20" s="9"/>
      <c r="I20" s="16">
        <v>0.0</v>
      </c>
      <c r="J20" s="9"/>
      <c r="K20" s="16">
        <v>0.0</v>
      </c>
      <c r="L20" s="16"/>
      <c r="M20" s="16">
        <v>0.0</v>
      </c>
      <c r="O20" s="38"/>
    </row>
    <row r="21">
      <c r="A21" s="19">
        <v>0.0</v>
      </c>
      <c r="B21" s="12"/>
      <c r="C21" s="19">
        <v>0.0</v>
      </c>
      <c r="D21" s="9"/>
      <c r="E21" s="44">
        <v>0.0</v>
      </c>
      <c r="F21" s="9"/>
      <c r="G21" s="16">
        <v>0.0</v>
      </c>
      <c r="H21" s="9"/>
      <c r="I21" s="16">
        <v>0.0</v>
      </c>
      <c r="J21" s="9"/>
      <c r="K21" s="16">
        <v>0.0</v>
      </c>
      <c r="L21" s="16"/>
      <c r="M21" s="16">
        <v>0.0</v>
      </c>
      <c r="O21" s="38"/>
    </row>
    <row r="22">
      <c r="A22" s="19">
        <v>0.0</v>
      </c>
      <c r="B22" s="9"/>
      <c r="C22" s="19">
        <v>0.0</v>
      </c>
      <c r="D22" s="9"/>
      <c r="E22" s="44">
        <v>0.0</v>
      </c>
      <c r="F22" s="9"/>
      <c r="G22" s="16">
        <v>0.0</v>
      </c>
      <c r="H22" s="9"/>
      <c r="I22" s="16">
        <v>0.0</v>
      </c>
      <c r="J22" s="9"/>
      <c r="K22" s="16">
        <v>0.0</v>
      </c>
      <c r="L22" s="16"/>
      <c r="M22" s="16">
        <v>0.0</v>
      </c>
      <c r="O22" s="38"/>
    </row>
    <row r="23">
      <c r="A23" s="19">
        <v>0.0</v>
      </c>
      <c r="B23" s="9"/>
      <c r="C23" s="19">
        <v>0.0</v>
      </c>
      <c r="D23" s="9"/>
      <c r="E23" s="44">
        <v>0.0</v>
      </c>
      <c r="F23" s="9"/>
      <c r="G23" s="16">
        <v>0.0</v>
      </c>
      <c r="H23" s="9"/>
      <c r="I23" s="16">
        <v>0.0</v>
      </c>
      <c r="J23" s="9"/>
      <c r="K23" s="16">
        <v>0.0</v>
      </c>
      <c r="L23" s="16"/>
      <c r="M23" s="16">
        <v>0.0</v>
      </c>
      <c r="O23" s="38"/>
    </row>
    <row r="24">
      <c r="A24" s="19">
        <v>0.0</v>
      </c>
      <c r="B24" s="9"/>
      <c r="C24" s="19">
        <v>0.0</v>
      </c>
      <c r="D24" s="9"/>
      <c r="E24" s="44">
        <v>0.0</v>
      </c>
      <c r="F24" s="9"/>
      <c r="G24" s="16">
        <v>0.0</v>
      </c>
      <c r="H24" s="9"/>
      <c r="I24" s="16">
        <v>0.0</v>
      </c>
      <c r="J24" s="9"/>
      <c r="K24" s="16">
        <v>0.0</v>
      </c>
      <c r="L24" s="16"/>
      <c r="M24" s="16">
        <v>0.0</v>
      </c>
      <c r="O24" s="27"/>
      <c r="P24" s="19" t="s">
        <v>4</v>
      </c>
    </row>
    <row r="25">
      <c r="A25" s="19">
        <v>0.0</v>
      </c>
      <c r="B25" s="9"/>
      <c r="C25" s="19">
        <v>0.0</v>
      </c>
      <c r="D25" s="9"/>
      <c r="E25" s="44">
        <v>0.0</v>
      </c>
      <c r="F25" s="9"/>
      <c r="G25" s="16">
        <v>0.0</v>
      </c>
      <c r="H25" s="9"/>
      <c r="I25" s="16">
        <v>0.0</v>
      </c>
      <c r="J25" s="9"/>
      <c r="K25" s="16">
        <v>0.0</v>
      </c>
      <c r="L25" s="16"/>
      <c r="M25" s="16">
        <v>0.0</v>
      </c>
      <c r="O25" s="28"/>
      <c r="P25" s="19" t="s">
        <v>6</v>
      </c>
    </row>
    <row r="26">
      <c r="A26" s="19">
        <v>0.0</v>
      </c>
      <c r="B26" s="9"/>
      <c r="C26" s="19">
        <v>0.0</v>
      </c>
      <c r="D26" s="9"/>
      <c r="E26" s="44">
        <v>0.0</v>
      </c>
      <c r="F26" s="9"/>
      <c r="G26" s="16">
        <v>0.0</v>
      </c>
      <c r="H26" s="9"/>
      <c r="I26" s="16">
        <v>0.0</v>
      </c>
      <c r="J26" s="9"/>
      <c r="K26" s="16">
        <v>0.0</v>
      </c>
      <c r="L26" s="16"/>
      <c r="M26" s="16">
        <v>0.0</v>
      </c>
      <c r="O26" s="29"/>
      <c r="P26" s="19" t="s">
        <v>7</v>
      </c>
    </row>
    <row r="27">
      <c r="A27" s="19">
        <v>0.0</v>
      </c>
      <c r="B27" s="9"/>
      <c r="C27" s="19">
        <v>0.0</v>
      </c>
      <c r="D27" s="9"/>
      <c r="E27" s="44">
        <v>0.0</v>
      </c>
      <c r="F27" s="9"/>
      <c r="G27" s="16">
        <v>0.0</v>
      </c>
      <c r="H27" s="9"/>
      <c r="I27" s="16">
        <v>0.0</v>
      </c>
      <c r="J27" s="9"/>
      <c r="K27" s="16">
        <v>0.0</v>
      </c>
      <c r="L27" s="16"/>
      <c r="M27" s="16">
        <v>0.0</v>
      </c>
      <c r="O27" s="38"/>
    </row>
    <row r="28">
      <c r="A28" s="19">
        <v>0.0</v>
      </c>
      <c r="B28" s="9"/>
      <c r="C28" s="19">
        <v>0.0</v>
      </c>
      <c r="D28" s="9"/>
      <c r="E28" s="44">
        <v>0.0</v>
      </c>
      <c r="F28" s="9"/>
      <c r="G28" s="16">
        <v>0.0</v>
      </c>
      <c r="H28" s="9"/>
      <c r="I28" s="16">
        <v>0.0</v>
      </c>
      <c r="J28" s="9"/>
      <c r="K28" s="16">
        <v>0.0</v>
      </c>
      <c r="L28" s="16"/>
      <c r="M28" s="16">
        <v>0.0</v>
      </c>
      <c r="O28" s="38"/>
    </row>
    <row r="29">
      <c r="A29" s="19">
        <v>0.0</v>
      </c>
      <c r="B29" s="9"/>
      <c r="C29" s="19">
        <v>0.0</v>
      </c>
      <c r="D29" s="9"/>
      <c r="E29" s="44">
        <v>0.0</v>
      </c>
      <c r="F29" s="9"/>
      <c r="G29" s="16">
        <v>0.0</v>
      </c>
      <c r="H29" s="9"/>
      <c r="I29" s="16">
        <v>0.0</v>
      </c>
      <c r="J29" s="9"/>
      <c r="K29" s="16">
        <v>0.0</v>
      </c>
      <c r="L29" s="16"/>
      <c r="M29" s="16">
        <v>0.0</v>
      </c>
      <c r="O29" s="38"/>
    </row>
    <row r="30">
      <c r="A30" s="21">
        <f>SUM(A3:A29)</f>
        <v>1885.5984</v>
      </c>
      <c r="B30" s="21"/>
      <c r="C30" s="21">
        <f>SUM(C3:C29)</f>
        <v>3040.1548</v>
      </c>
      <c r="D30" s="21"/>
      <c r="E30" s="21">
        <f>SUM(E3:E29)+A30+C30</f>
        <v>8134.1392</v>
      </c>
      <c r="F30" s="21"/>
      <c r="G30" s="21">
        <f>SUM(G3:G29)</f>
        <v>2777.0888</v>
      </c>
      <c r="H30" s="21"/>
      <c r="I30" s="21">
        <f>SUM(I3:I29)</f>
        <v>4593.976</v>
      </c>
      <c r="J30" s="21"/>
      <c r="K30" s="21">
        <f>SUM(K3:K29)</f>
        <v>3158.3256</v>
      </c>
      <c r="L30" s="21"/>
      <c r="M30" s="21">
        <f>SUM(M3:M29)+I30+K30</f>
        <v>7752.3016</v>
      </c>
      <c r="O30" s="39"/>
    </row>
    <row r="31">
      <c r="A31" s="8" t="s">
        <v>8</v>
      </c>
      <c r="B31" s="23">
        <f>E30+G30+M30</f>
        <v>18663.5296</v>
      </c>
    </row>
    <row r="32">
      <c r="A32" s="41"/>
      <c r="B32" s="41"/>
      <c r="C32" s="41"/>
      <c r="D32" s="41"/>
      <c r="E32" s="41">
        <f>(E30)*15%</f>
        <v>1220.12088</v>
      </c>
      <c r="F32" s="41"/>
      <c r="G32" s="41">
        <f>(G30)*15%</f>
        <v>416.56332</v>
      </c>
      <c r="H32" s="41"/>
      <c r="I32" s="41"/>
      <c r="J32" s="41"/>
      <c r="K32" s="41"/>
      <c r="L32" s="41"/>
      <c r="M32" s="41">
        <f>(M30)*15%</f>
        <v>1162.84524</v>
      </c>
    </row>
    <row r="33">
      <c r="E33" s="25" t="s">
        <v>9</v>
      </c>
      <c r="G33" s="25" t="s">
        <v>9</v>
      </c>
      <c r="M33" s="25" t="s">
        <v>9</v>
      </c>
    </row>
    <row r="35">
      <c r="E35" s="25" t="s">
        <v>3</v>
      </c>
      <c r="F35" s="46">
        <f>B31</f>
        <v>18663.5296</v>
      </c>
      <c r="G35" s="38">
        <v>18663.529599999998</v>
      </c>
    </row>
    <row r="36">
      <c r="E36" s="25" t="s">
        <v>5</v>
      </c>
      <c r="F36" s="38">
        <f>A32+C32+E32+G32+I32+K32+M32</f>
        <v>2799.52944</v>
      </c>
      <c r="G36" s="38">
        <v>2799.52944</v>
      </c>
    </row>
  </sheetData>
  <mergeCells count="2">
    <mergeCell ref="A1:M1"/>
    <mergeCell ref="B31:K3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4" max="4" width="16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106.0</v>
      </c>
      <c r="B2" s="5"/>
      <c r="C2" s="6">
        <v>606.0</v>
      </c>
      <c r="D2" s="7"/>
      <c r="E2" s="8" t="s">
        <v>14</v>
      </c>
      <c r="F2" s="7"/>
      <c r="G2" s="8"/>
      <c r="H2" s="22"/>
      <c r="I2" s="35"/>
      <c r="J2" s="22"/>
      <c r="K2" s="35"/>
      <c r="M2" s="10"/>
      <c r="O2" s="10"/>
    </row>
    <row r="3">
      <c r="A3" s="11">
        <f>151.7-(151.7*13%)</f>
        <v>131.979</v>
      </c>
      <c r="B3" s="12"/>
      <c r="C3" s="11">
        <f>156.4-(156.4*13%)</f>
        <v>136.068</v>
      </c>
      <c r="D3" s="9"/>
      <c r="E3" s="16">
        <v>0.0</v>
      </c>
      <c r="F3" s="16"/>
      <c r="G3" s="16"/>
      <c r="H3" s="9"/>
      <c r="I3" s="16"/>
      <c r="J3" s="9"/>
      <c r="K3" s="16"/>
      <c r="M3" s="38"/>
      <c r="O3" s="38"/>
    </row>
    <row r="4">
      <c r="A4" s="11">
        <f>193.2-(193.2*13%)</f>
        <v>168.084</v>
      </c>
      <c r="B4" s="12"/>
      <c r="C4" s="11">
        <f>1977.44-(1977.44*13%)</f>
        <v>1720.3728</v>
      </c>
      <c r="D4" s="9"/>
      <c r="E4" s="16">
        <v>0.0</v>
      </c>
      <c r="F4" s="16"/>
      <c r="G4" s="16"/>
      <c r="H4" s="9"/>
      <c r="I4" s="16"/>
      <c r="J4" s="9"/>
      <c r="K4" s="16"/>
      <c r="M4" s="38"/>
      <c r="O4" s="38"/>
    </row>
    <row r="5">
      <c r="A5" s="11">
        <f>218.5-(218.5*13%)</f>
        <v>190.095</v>
      </c>
      <c r="C5" s="33">
        <v>0.0</v>
      </c>
      <c r="D5" s="9"/>
      <c r="E5" s="16">
        <v>0.0</v>
      </c>
      <c r="F5" s="16"/>
      <c r="G5" s="16"/>
      <c r="H5" s="9"/>
      <c r="I5" s="16"/>
      <c r="J5" s="9"/>
      <c r="K5" s="16"/>
      <c r="M5" s="38"/>
      <c r="O5" s="38"/>
    </row>
    <row r="6">
      <c r="A6" s="11">
        <f>195.5-(195.5*13%)</f>
        <v>170.085</v>
      </c>
      <c r="B6" s="12"/>
      <c r="C6" s="33">
        <v>0.0</v>
      </c>
      <c r="D6" s="9"/>
      <c r="E6" s="16">
        <v>0.0</v>
      </c>
      <c r="F6" s="16"/>
      <c r="G6" s="16"/>
      <c r="H6" s="9"/>
      <c r="I6" s="16"/>
      <c r="J6" s="9"/>
      <c r="K6" s="16"/>
      <c r="M6" s="38"/>
      <c r="O6" s="38"/>
    </row>
    <row r="7">
      <c r="A7" s="11">
        <f> 167.32-( 167.32*13%)</f>
        <v>145.5684</v>
      </c>
      <c r="B7" s="19"/>
      <c r="C7" s="33">
        <v>0.0</v>
      </c>
      <c r="D7" s="9"/>
      <c r="E7" s="16">
        <v>0.0</v>
      </c>
      <c r="F7" s="16"/>
      <c r="G7" s="16"/>
      <c r="H7" s="9"/>
      <c r="I7" s="16"/>
      <c r="J7" s="9"/>
      <c r="K7" s="16"/>
      <c r="M7" s="38"/>
      <c r="O7" s="38"/>
    </row>
    <row r="8">
      <c r="A8" s="11">
        <f> 1737.09-( 1737.09*13%)</f>
        <v>1511.2683</v>
      </c>
      <c r="B8" s="9"/>
      <c r="C8" s="33">
        <v>0.0</v>
      </c>
      <c r="D8" s="9"/>
      <c r="E8" s="16">
        <v>0.0</v>
      </c>
      <c r="F8" s="16"/>
      <c r="G8" s="16"/>
      <c r="H8" s="9"/>
      <c r="I8" s="16"/>
      <c r="J8" s="9"/>
      <c r="K8" s="16"/>
      <c r="M8" s="38"/>
      <c r="O8" s="38"/>
    </row>
    <row r="9">
      <c r="A9" s="33">
        <v>0.0</v>
      </c>
      <c r="B9" s="12"/>
      <c r="C9" s="33">
        <v>0.0</v>
      </c>
      <c r="D9" s="9"/>
      <c r="E9" s="16">
        <v>0.0</v>
      </c>
      <c r="F9" s="16"/>
      <c r="G9" s="16"/>
      <c r="H9" s="9"/>
      <c r="I9" s="16"/>
      <c r="J9" s="9"/>
      <c r="K9" s="16"/>
      <c r="M9" s="38"/>
      <c r="O9" s="38"/>
    </row>
    <row r="10">
      <c r="A10" s="33">
        <v>0.0</v>
      </c>
      <c r="B10" s="12"/>
      <c r="C10" s="33">
        <v>0.0</v>
      </c>
      <c r="D10" s="9"/>
      <c r="E10" s="16">
        <v>0.0</v>
      </c>
      <c r="F10" s="9"/>
      <c r="G10" s="16"/>
      <c r="H10" s="9"/>
      <c r="I10" s="16"/>
      <c r="J10" s="9"/>
      <c r="K10" s="16"/>
      <c r="M10" s="38"/>
      <c r="O10" s="38"/>
    </row>
    <row r="11">
      <c r="A11" s="33">
        <v>0.0</v>
      </c>
      <c r="B11" s="12"/>
      <c r="C11" s="33">
        <v>0.0</v>
      </c>
      <c r="D11" s="9"/>
      <c r="E11" s="16">
        <v>0.0</v>
      </c>
      <c r="F11" s="16"/>
      <c r="G11" s="16"/>
      <c r="H11" s="9"/>
      <c r="I11" s="16"/>
      <c r="J11" s="9"/>
      <c r="K11" s="16"/>
      <c r="M11" s="38"/>
      <c r="O11" s="38"/>
    </row>
    <row r="12">
      <c r="A12" s="33">
        <v>0.0</v>
      </c>
      <c r="B12" s="12"/>
      <c r="C12" s="33">
        <v>0.0</v>
      </c>
      <c r="D12" s="9"/>
      <c r="E12" s="16">
        <v>0.0</v>
      </c>
      <c r="F12" s="9"/>
      <c r="G12" s="16"/>
      <c r="H12" s="9"/>
      <c r="I12" s="16"/>
      <c r="J12" s="9"/>
      <c r="K12" s="16"/>
      <c r="M12" s="38"/>
      <c r="O12" s="38"/>
    </row>
    <row r="13">
      <c r="A13" s="33">
        <v>0.0</v>
      </c>
      <c r="B13" s="9"/>
      <c r="C13" s="33">
        <v>0.0</v>
      </c>
      <c r="D13" s="9"/>
      <c r="E13" s="16">
        <v>0.0</v>
      </c>
      <c r="F13" s="9"/>
      <c r="G13" s="16"/>
      <c r="H13" s="9"/>
      <c r="I13" s="16"/>
      <c r="J13" s="9"/>
      <c r="K13" s="16"/>
      <c r="M13" s="38"/>
      <c r="O13" s="38"/>
    </row>
    <row r="14">
      <c r="A14" s="33">
        <v>0.0</v>
      </c>
      <c r="B14" s="32"/>
      <c r="C14" s="33">
        <v>0.0</v>
      </c>
      <c r="D14" s="10"/>
      <c r="E14" s="16">
        <v>0.0</v>
      </c>
      <c r="F14" s="9"/>
      <c r="G14" s="16"/>
      <c r="H14" s="9"/>
      <c r="I14" s="16"/>
      <c r="J14" s="9"/>
      <c r="K14" s="16"/>
      <c r="M14" s="38"/>
      <c r="O14" s="38"/>
    </row>
    <row r="15">
      <c r="A15" s="33">
        <v>0.0</v>
      </c>
      <c r="B15" s="32"/>
      <c r="C15" s="33">
        <v>0.0</v>
      </c>
      <c r="D15" s="10"/>
      <c r="E15" s="16">
        <v>0.0</v>
      </c>
      <c r="F15" s="9"/>
      <c r="G15" s="16"/>
      <c r="H15" s="9"/>
      <c r="I15" s="16"/>
      <c r="J15" s="9"/>
      <c r="K15" s="16"/>
      <c r="M15" s="38"/>
      <c r="O15" s="38"/>
    </row>
    <row r="16">
      <c r="A16" s="33">
        <v>0.0</v>
      </c>
      <c r="B16" s="32"/>
      <c r="C16" s="33">
        <v>0.0</v>
      </c>
      <c r="D16" s="9"/>
      <c r="E16" s="16">
        <v>0.0</v>
      </c>
      <c r="F16" s="9"/>
      <c r="G16" s="16"/>
      <c r="H16" s="9"/>
      <c r="I16" s="16"/>
      <c r="J16" s="9"/>
      <c r="K16" s="16"/>
      <c r="M16" s="38"/>
      <c r="O16" s="38"/>
    </row>
    <row r="17">
      <c r="A17" s="33">
        <v>0.0</v>
      </c>
      <c r="B17" s="32"/>
      <c r="C17" s="33">
        <v>0.0</v>
      </c>
      <c r="D17" s="10"/>
      <c r="E17" s="16">
        <v>0.0</v>
      </c>
      <c r="F17" s="9"/>
      <c r="G17" s="16"/>
      <c r="H17" s="9"/>
      <c r="I17" s="16"/>
      <c r="J17" s="9"/>
      <c r="K17" s="16"/>
      <c r="M17" s="38"/>
      <c r="O17" s="38"/>
    </row>
    <row r="18">
      <c r="A18" s="33">
        <v>0.0</v>
      </c>
      <c r="B18" s="31"/>
      <c r="C18" s="33">
        <v>0.0</v>
      </c>
      <c r="D18" s="10"/>
      <c r="E18" s="16">
        <v>0.0</v>
      </c>
      <c r="F18" s="9"/>
      <c r="G18" s="16"/>
      <c r="H18" s="9"/>
      <c r="I18" s="16"/>
      <c r="J18" s="9"/>
      <c r="K18" s="16"/>
      <c r="M18" s="38"/>
      <c r="O18" s="38"/>
    </row>
    <row r="19">
      <c r="A19" s="33">
        <v>0.0</v>
      </c>
      <c r="B19" s="32"/>
      <c r="C19" s="33">
        <v>0.0</v>
      </c>
      <c r="D19" s="9"/>
      <c r="E19" s="16">
        <v>0.0</v>
      </c>
      <c r="F19" s="9"/>
      <c r="G19" s="16"/>
      <c r="H19" s="9"/>
      <c r="I19" s="27"/>
      <c r="J19" s="19" t="s">
        <v>4</v>
      </c>
      <c r="K19" s="16"/>
      <c r="M19" s="38"/>
      <c r="O19" s="38"/>
    </row>
    <row r="20">
      <c r="A20" s="33">
        <v>0.0</v>
      </c>
      <c r="B20" s="32"/>
      <c r="C20" s="33">
        <v>0.0</v>
      </c>
      <c r="D20" s="9"/>
      <c r="E20" s="16">
        <v>0.0</v>
      </c>
      <c r="F20" s="9"/>
      <c r="G20" s="16"/>
      <c r="H20" s="9"/>
      <c r="I20" s="28"/>
      <c r="J20" s="19" t="s">
        <v>6</v>
      </c>
      <c r="K20" s="16"/>
      <c r="M20" s="38"/>
      <c r="O20" s="38"/>
    </row>
    <row r="21">
      <c r="A21" s="33">
        <v>0.0</v>
      </c>
      <c r="B21" s="32"/>
      <c r="C21" s="33">
        <v>0.0</v>
      </c>
      <c r="D21" s="9"/>
      <c r="E21" s="16">
        <v>0.0</v>
      </c>
      <c r="F21" s="9"/>
      <c r="G21" s="16"/>
      <c r="H21" s="9"/>
      <c r="I21" s="29"/>
      <c r="J21" s="19" t="s">
        <v>7</v>
      </c>
      <c r="K21" s="16"/>
      <c r="M21" s="38"/>
      <c r="O21" s="38"/>
    </row>
    <row r="22">
      <c r="A22" s="33">
        <v>0.0</v>
      </c>
      <c r="B22" s="31"/>
      <c r="C22" s="33">
        <v>0.0</v>
      </c>
      <c r="D22" s="9"/>
      <c r="E22" s="16">
        <v>0.0</v>
      </c>
      <c r="F22" s="9"/>
      <c r="G22" s="16"/>
      <c r="H22" s="9"/>
      <c r="I22" s="16"/>
      <c r="J22" s="9"/>
      <c r="K22" s="16"/>
      <c r="M22" s="38"/>
      <c r="O22" s="38"/>
    </row>
    <row r="23">
      <c r="A23" s="33">
        <v>0.0</v>
      </c>
      <c r="B23" s="31"/>
      <c r="C23" s="33">
        <v>0.0</v>
      </c>
      <c r="D23" s="9"/>
      <c r="E23" s="16">
        <v>0.0</v>
      </c>
      <c r="F23" s="9"/>
      <c r="G23" s="16"/>
      <c r="H23" s="9"/>
      <c r="I23" s="16"/>
      <c r="J23" s="9"/>
      <c r="K23" s="16"/>
      <c r="M23" s="38"/>
      <c r="O23" s="38"/>
    </row>
    <row r="24">
      <c r="A24" s="19">
        <v>0.0</v>
      </c>
      <c r="B24" s="9"/>
      <c r="C24" s="19">
        <v>0.0</v>
      </c>
      <c r="D24" s="9"/>
      <c r="E24" s="16">
        <v>0.0</v>
      </c>
      <c r="F24" s="9"/>
      <c r="G24" s="16"/>
      <c r="H24" s="9"/>
      <c r="I24" s="16"/>
      <c r="J24" s="9"/>
      <c r="K24" s="16"/>
      <c r="M24" s="38"/>
      <c r="O24" s="38"/>
    </row>
    <row r="25">
      <c r="A25" s="19">
        <v>0.0</v>
      </c>
      <c r="B25" s="9"/>
      <c r="C25" s="19">
        <v>0.0</v>
      </c>
      <c r="D25" s="9"/>
      <c r="E25" s="16">
        <v>0.0</v>
      </c>
      <c r="F25" s="9"/>
      <c r="G25" s="16"/>
      <c r="H25" s="9"/>
      <c r="I25" s="16"/>
      <c r="J25" s="9"/>
      <c r="K25" s="16"/>
      <c r="M25" s="38"/>
      <c r="O25" s="38"/>
    </row>
    <row r="26">
      <c r="A26" s="19">
        <v>0.0</v>
      </c>
      <c r="B26" s="9"/>
      <c r="C26" s="19">
        <v>0.0</v>
      </c>
      <c r="D26" s="9"/>
      <c r="E26" s="16">
        <v>0.0</v>
      </c>
      <c r="F26" s="9"/>
      <c r="G26" s="16"/>
      <c r="H26" s="9"/>
      <c r="I26" s="16"/>
      <c r="J26" s="9"/>
      <c r="K26" s="16"/>
      <c r="M26" s="38"/>
      <c r="O26" s="38"/>
    </row>
    <row r="27">
      <c r="A27" s="19">
        <v>0.0</v>
      </c>
      <c r="B27" s="9"/>
      <c r="C27" s="19">
        <v>0.0</v>
      </c>
      <c r="D27" s="9"/>
      <c r="E27" s="16">
        <v>0.0</v>
      </c>
      <c r="F27" s="9"/>
      <c r="G27" s="16"/>
      <c r="H27" s="9"/>
      <c r="I27" s="16"/>
      <c r="J27" s="9"/>
      <c r="K27" s="16"/>
      <c r="M27" s="38"/>
      <c r="O27" s="38"/>
    </row>
    <row r="28">
      <c r="A28" s="19">
        <v>0.0</v>
      </c>
      <c r="B28" s="9"/>
      <c r="C28" s="19">
        <v>0.0</v>
      </c>
      <c r="D28" s="9"/>
      <c r="E28" s="16">
        <v>0.0</v>
      </c>
      <c r="F28" s="9"/>
      <c r="G28" s="16"/>
      <c r="H28" s="9"/>
      <c r="I28" s="16"/>
      <c r="J28" s="9"/>
      <c r="K28" s="16"/>
      <c r="M28" s="38"/>
      <c r="O28" s="38"/>
    </row>
    <row r="29">
      <c r="A29" s="19">
        <v>0.0</v>
      </c>
      <c r="B29" s="9"/>
      <c r="C29" s="19">
        <v>0.0</v>
      </c>
      <c r="D29" s="9"/>
      <c r="E29" s="16">
        <v>0.0</v>
      </c>
      <c r="F29" s="9"/>
      <c r="G29" s="16"/>
      <c r="H29" s="9"/>
      <c r="I29" s="16"/>
      <c r="J29" s="9"/>
      <c r="K29" s="16"/>
      <c r="M29" s="38"/>
      <c r="O29" s="38"/>
    </row>
    <row r="30">
      <c r="A30" s="21">
        <f>SUM(A3:A29)</f>
        <v>2317.0797</v>
      </c>
      <c r="B30" s="21"/>
      <c r="C30" s="21">
        <f>SUM(C3:C29)</f>
        <v>1856.4408</v>
      </c>
      <c r="D30" s="21"/>
      <c r="E30" s="21">
        <f>SUM(E3:E29)</f>
        <v>0</v>
      </c>
      <c r="F30" s="21"/>
      <c r="G30" s="21"/>
      <c r="H30" s="9"/>
      <c r="I30" s="21"/>
      <c r="J30" s="9"/>
      <c r="K30" s="21"/>
      <c r="M30" s="39"/>
      <c r="O30" s="39"/>
    </row>
    <row r="31">
      <c r="A31" s="8" t="s">
        <v>8</v>
      </c>
      <c r="B31" s="23">
        <f>A30+C30+E30+G30+I30+K30</f>
        <v>4173.5205</v>
      </c>
    </row>
    <row r="32">
      <c r="A32" s="24">
        <f>(A30-2349.38)*18%</f>
        <v>-5.814054</v>
      </c>
      <c r="B32" s="41"/>
      <c r="C32" s="41">
        <f>(C30-2349.38)*18%</f>
        <v>-88.729056</v>
      </c>
      <c r="D32" s="41"/>
      <c r="E32" s="41">
        <f>(E30-0)*18%</f>
        <v>0</v>
      </c>
    </row>
    <row r="34">
      <c r="A34" s="25" t="s">
        <v>9</v>
      </c>
    </row>
    <row r="35">
      <c r="D35" s="25" t="s">
        <v>3</v>
      </c>
      <c r="E35" s="26">
        <f>B31</f>
        <v>4173.5205</v>
      </c>
      <c r="F35" s="38">
        <v>4173.5205000000005</v>
      </c>
    </row>
    <row r="36">
      <c r="D36" s="25" t="s">
        <v>5</v>
      </c>
      <c r="E36" s="26">
        <f>A32+C32+E32+G32+I32+K32</f>
        <v>-94.54311</v>
      </c>
      <c r="F36" s="38">
        <v>-94.54310999999998</v>
      </c>
    </row>
  </sheetData>
  <mergeCells count="2">
    <mergeCell ref="A1:K1"/>
    <mergeCell ref="B31:K3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8" max="8" width="17.63"/>
  </cols>
  <sheetData>
    <row r="1">
      <c r="A1" s="47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6" t="s">
        <v>15</v>
      </c>
      <c r="B2" s="5"/>
      <c r="C2" s="6" t="s">
        <v>16</v>
      </c>
      <c r="D2" s="7"/>
      <c r="E2" s="6" t="s">
        <v>17</v>
      </c>
      <c r="F2" s="8"/>
      <c r="G2" s="6" t="s">
        <v>18</v>
      </c>
      <c r="H2" s="22"/>
      <c r="I2" s="35"/>
      <c r="J2" s="22"/>
      <c r="K2" s="35"/>
      <c r="M2" s="10"/>
      <c r="O2" s="10"/>
    </row>
    <row r="3">
      <c r="A3" s="11">
        <f>(644.66)/2*1</f>
        <v>322.33</v>
      </c>
      <c r="B3" s="32"/>
      <c r="C3" s="17">
        <f>(7065)/29*15</f>
        <v>3654.310345</v>
      </c>
      <c r="D3" s="31"/>
      <c r="E3" s="14">
        <f> 330.05-( 330.05*16%)</f>
        <v>277.242</v>
      </c>
      <c r="F3" s="44"/>
      <c r="G3" s="18">
        <f>(1305)/8*5</f>
        <v>815.625</v>
      </c>
      <c r="H3" s="9"/>
      <c r="I3" s="16"/>
      <c r="J3" s="9"/>
      <c r="K3" s="16"/>
      <c r="M3" s="38"/>
      <c r="O3" s="38"/>
    </row>
    <row r="4">
      <c r="A4" s="11">
        <f> 970.14-( 970.14*16%)</f>
        <v>814.9176</v>
      </c>
      <c r="B4" s="12"/>
      <c r="C4" s="17">
        <f>(6930)/28*13</f>
        <v>3217.5</v>
      </c>
      <c r="D4" s="9"/>
      <c r="E4" s="14">
        <f> 278.88-( 278.88*16%)</f>
        <v>234.2592</v>
      </c>
      <c r="F4" s="44"/>
      <c r="G4" s="14">
        <f> 256.57-( 256.57*16%)</f>
        <v>215.5188</v>
      </c>
      <c r="H4" s="9"/>
      <c r="I4" s="16"/>
      <c r="J4" s="9"/>
      <c r="K4" s="16"/>
      <c r="M4" s="38"/>
      <c r="O4" s="38"/>
    </row>
    <row r="5">
      <c r="A5" s="11">
        <f> 256.57-( 256.57*16%)</f>
        <v>215.5188</v>
      </c>
      <c r="B5" s="12"/>
      <c r="C5" s="19">
        <v>0.0</v>
      </c>
      <c r="D5" s="9"/>
      <c r="E5" s="14">
        <f> 734.85-( 734.85*16%)</f>
        <v>617.274</v>
      </c>
      <c r="F5" s="44"/>
      <c r="G5" s="14">
        <f> 353.05-( 353.05*16%)</f>
        <v>296.562</v>
      </c>
      <c r="H5" s="9"/>
      <c r="I5" s="16"/>
      <c r="J5" s="9"/>
      <c r="K5" s="16"/>
      <c r="M5" s="38"/>
      <c r="O5" s="38"/>
    </row>
    <row r="6">
      <c r="A6" s="48">
        <f> 275.53-( 275.53*16%)</f>
        <v>231.4452</v>
      </c>
      <c r="B6" s="19"/>
      <c r="C6" s="19">
        <v>0.0</v>
      </c>
      <c r="D6" s="9"/>
      <c r="E6" s="14">
        <f> 230-( 230*16%)</f>
        <v>193.2</v>
      </c>
      <c r="F6" s="44"/>
      <c r="G6" s="14">
        <f> 230-( 230*16%)</f>
        <v>193.2</v>
      </c>
      <c r="H6" s="9"/>
      <c r="I6" s="16"/>
      <c r="J6" s="9"/>
      <c r="K6" s="16"/>
      <c r="M6" s="38"/>
      <c r="O6" s="38"/>
    </row>
    <row r="7">
      <c r="A7" s="48">
        <f> 230-( 230*16%)</f>
        <v>193.2</v>
      </c>
      <c r="B7" s="19"/>
      <c r="C7" s="19">
        <v>0.0</v>
      </c>
      <c r="D7" s="9"/>
      <c r="E7" s="18">
        <f> 250-( 250*10%)</f>
        <v>225</v>
      </c>
      <c r="F7" s="44"/>
      <c r="G7" s="14">
        <f> 313.46-( 313.46*16%)</f>
        <v>263.3064</v>
      </c>
      <c r="H7" s="9"/>
      <c r="I7" s="16"/>
      <c r="J7" s="9"/>
      <c r="K7" s="16"/>
      <c r="M7" s="38"/>
      <c r="O7" s="38"/>
    </row>
    <row r="8">
      <c r="A8" s="49">
        <f t="shared" ref="A8:A9" si="1">  230-(  230*10%)</f>
        <v>207</v>
      </c>
      <c r="B8" s="9"/>
      <c r="C8" s="19">
        <v>0.0</v>
      </c>
      <c r="D8" s="9"/>
      <c r="E8" s="18">
        <f t="shared" ref="E8:E9" si="2"> 260-( 260*10%)</f>
        <v>234</v>
      </c>
      <c r="F8" s="44"/>
      <c r="G8" s="18">
        <f> 260-( 260*10%)</f>
        <v>234</v>
      </c>
      <c r="H8" s="10"/>
      <c r="I8" s="16"/>
      <c r="J8" s="9"/>
      <c r="K8" s="16"/>
      <c r="M8" s="38"/>
      <c r="O8" s="38"/>
    </row>
    <row r="9">
      <c r="A9" s="49">
        <f t="shared" si="1"/>
        <v>207</v>
      </c>
      <c r="B9" s="12"/>
      <c r="C9" s="19">
        <v>0.0</v>
      </c>
      <c r="D9" s="9"/>
      <c r="E9" s="18">
        <f t="shared" si="2"/>
        <v>234</v>
      </c>
      <c r="F9" s="44"/>
      <c r="G9" s="18">
        <f>560-(560*10%)</f>
        <v>504</v>
      </c>
      <c r="H9" s="45"/>
      <c r="I9" s="16"/>
      <c r="J9" s="9"/>
      <c r="K9" s="16"/>
      <c r="M9" s="38"/>
      <c r="O9" s="38"/>
    </row>
    <row r="10">
      <c r="A10" s="49">
        <f> 260-( 260*10%)</f>
        <v>234</v>
      </c>
      <c r="B10" s="12"/>
      <c r="C10" s="19">
        <v>0.0</v>
      </c>
      <c r="D10" s="9"/>
      <c r="E10" s="14">
        <f> 766.95-( 766.95*16%)</f>
        <v>644.238</v>
      </c>
      <c r="F10" s="44"/>
      <c r="G10" s="14">
        <f>655.51-(655.51*16%)</f>
        <v>550.6284</v>
      </c>
      <c r="H10" s="9"/>
      <c r="I10" s="16"/>
      <c r="J10" s="9"/>
      <c r="K10" s="16"/>
      <c r="M10" s="38"/>
      <c r="O10" s="38"/>
    </row>
    <row r="11">
      <c r="A11" s="48">
        <f>    1293.52-(   1293.52*16%)</f>
        <v>1086.5568</v>
      </c>
      <c r="B11" s="12"/>
      <c r="C11" s="19">
        <v>0.0</v>
      </c>
      <c r="D11" s="9"/>
      <c r="E11" s="14">
        <f> 764.75-( 764.75*16%)</f>
        <v>642.39</v>
      </c>
      <c r="F11" s="44"/>
      <c r="G11" s="14">
        <f>302.19-(302.19*16%)</f>
        <v>253.8396</v>
      </c>
      <c r="H11" s="9"/>
      <c r="I11" s="16"/>
      <c r="J11" s="9"/>
      <c r="K11" s="16"/>
      <c r="M11" s="38"/>
      <c r="O11" s="38"/>
    </row>
    <row r="12">
      <c r="A12" s="48">
        <f>    234.26-(   234.26*16%)</f>
        <v>196.7784</v>
      </c>
      <c r="B12" s="12"/>
      <c r="C12" s="19">
        <v>0.0</v>
      </c>
      <c r="D12" s="9"/>
      <c r="E12" s="14">
        <f> 501.98-( 501.98*16%)</f>
        <v>421.6632</v>
      </c>
      <c r="F12" s="44"/>
      <c r="G12" s="14">
        <f>437-(437*16%)</f>
        <v>367.08</v>
      </c>
      <c r="H12" s="10"/>
      <c r="I12" s="16"/>
      <c r="J12" s="9"/>
      <c r="K12" s="16"/>
      <c r="M12" s="38"/>
      <c r="O12" s="38"/>
    </row>
    <row r="13">
      <c r="A13" s="48">
        <f>    195.5-(   195.5*16%)</f>
        <v>164.22</v>
      </c>
      <c r="B13" s="9"/>
      <c r="C13" s="19">
        <v>0.0</v>
      </c>
      <c r="D13" s="9"/>
      <c r="E13" s="14">
        <f>    195.5-(   195.5*16%)</f>
        <v>164.22</v>
      </c>
      <c r="F13" s="44"/>
      <c r="G13" s="14">
        <f>267.72-(267.72*16%)</f>
        <v>224.8848</v>
      </c>
      <c r="H13" s="9"/>
      <c r="I13" s="16"/>
      <c r="J13" s="9"/>
      <c r="K13" s="16"/>
      <c r="M13" s="38"/>
      <c r="O13" s="38"/>
    </row>
    <row r="14">
      <c r="A14" s="48">
        <f>    706.12-(   706.12*16%)</f>
        <v>593.1408</v>
      </c>
      <c r="B14" s="12"/>
      <c r="C14" s="19">
        <v>0.0</v>
      </c>
      <c r="D14" s="9"/>
      <c r="E14" s="14">
        <f> 287.5-( 287.5*16%)</f>
        <v>241.5</v>
      </c>
      <c r="F14" s="44"/>
      <c r="G14" s="14">
        <f>1211.89-(1211.89*16%)</f>
        <v>1017.9876</v>
      </c>
      <c r="H14" s="9"/>
      <c r="I14" s="16"/>
      <c r="J14" s="9"/>
      <c r="K14" s="16"/>
      <c r="M14" s="38"/>
      <c r="O14" s="38"/>
    </row>
    <row r="15">
      <c r="A15" s="48">
        <f> 230-( 230*16%)</f>
        <v>193.2</v>
      </c>
      <c r="B15" s="12"/>
      <c r="C15" s="19">
        <v>0.0</v>
      </c>
      <c r="D15" s="9"/>
      <c r="E15" s="14">
        <f> 230-( 230*16%)</f>
        <v>193.2</v>
      </c>
      <c r="F15" s="44"/>
      <c r="G15" s="15">
        <v>1220.27</v>
      </c>
      <c r="H15" s="9"/>
      <c r="I15" s="16"/>
      <c r="J15" s="9"/>
      <c r="K15" s="16"/>
      <c r="M15" s="38"/>
      <c r="O15" s="38"/>
    </row>
    <row r="16">
      <c r="A16" s="48">
        <f>   368-(   368*16%)</f>
        <v>309.12</v>
      </c>
      <c r="B16" s="12"/>
      <c r="C16" s="19">
        <v>0.0</v>
      </c>
      <c r="D16" s="9"/>
      <c r="E16" s="14">
        <f>  1758.93-(  1758.93*16%)</f>
        <v>1477.5012</v>
      </c>
      <c r="F16" s="44"/>
      <c r="G16" s="44">
        <v>0.0</v>
      </c>
      <c r="H16" s="9"/>
      <c r="I16" s="16"/>
      <c r="J16" s="9"/>
      <c r="K16" s="16"/>
      <c r="M16" s="38"/>
      <c r="O16" s="38"/>
    </row>
    <row r="17">
      <c r="A17" s="48">
        <f>   490.82-(   490.82*16%)</f>
        <v>412.2888</v>
      </c>
      <c r="B17" s="12"/>
      <c r="C17" s="19">
        <v>0.0</v>
      </c>
      <c r="D17" s="9"/>
      <c r="E17" s="18">
        <f>  350-(  350*10%)</f>
        <v>315</v>
      </c>
      <c r="F17" s="44"/>
      <c r="G17" s="44">
        <v>0.0</v>
      </c>
      <c r="H17" s="9"/>
      <c r="I17" s="16"/>
      <c r="J17" s="9"/>
      <c r="K17" s="16"/>
      <c r="M17" s="38"/>
      <c r="O17" s="38"/>
    </row>
    <row r="18">
      <c r="A18" s="48">
        <f>   713-(   713*16%)</f>
        <v>598.92</v>
      </c>
      <c r="B18" s="9"/>
      <c r="C18" s="19">
        <v>0.0</v>
      </c>
      <c r="D18" s="9"/>
      <c r="E18" s="14">
        <f>  358.8-(  358.8*16%)</f>
        <v>301.392</v>
      </c>
      <c r="F18" s="44"/>
      <c r="G18" s="44">
        <v>0.0</v>
      </c>
      <c r="H18" s="9"/>
      <c r="I18" s="16"/>
      <c r="J18" s="9"/>
      <c r="K18" s="16"/>
      <c r="M18" s="38"/>
      <c r="O18" s="38"/>
    </row>
    <row r="19">
      <c r="A19" s="48">
        <f>264.5-(264.5*16%)</f>
        <v>222.18</v>
      </c>
      <c r="B19" s="12"/>
      <c r="C19" s="19">
        <v>0.0</v>
      </c>
      <c r="D19" s="9"/>
      <c r="E19" s="44">
        <v>0.0</v>
      </c>
      <c r="F19" s="44"/>
      <c r="G19" s="44">
        <v>0.0</v>
      </c>
      <c r="H19" s="9"/>
      <c r="I19" s="16"/>
      <c r="J19" s="27"/>
      <c r="K19" s="19" t="s">
        <v>4</v>
      </c>
      <c r="M19" s="38"/>
      <c r="O19" s="38"/>
    </row>
    <row r="20">
      <c r="A20" s="48">
        <f>332.42-(332.42*16%)</f>
        <v>279.2328</v>
      </c>
      <c r="B20" s="12"/>
      <c r="C20" s="19">
        <v>0.0</v>
      </c>
      <c r="D20" s="9"/>
      <c r="E20" s="44">
        <v>0.0</v>
      </c>
      <c r="F20" s="44"/>
      <c r="G20" s="44">
        <v>0.0</v>
      </c>
      <c r="H20" s="9"/>
      <c r="I20" s="16"/>
      <c r="J20" s="28"/>
      <c r="K20" s="19" t="s">
        <v>6</v>
      </c>
      <c r="M20" s="38"/>
      <c r="O20" s="38"/>
    </row>
    <row r="21">
      <c r="A21" s="19">
        <v>0.0</v>
      </c>
      <c r="B21" s="12"/>
      <c r="C21" s="19">
        <v>0.0</v>
      </c>
      <c r="D21" s="9"/>
      <c r="E21" s="44">
        <v>0.0</v>
      </c>
      <c r="F21" s="44"/>
      <c r="G21" s="44">
        <v>0.0</v>
      </c>
      <c r="H21" s="9"/>
      <c r="I21" s="16"/>
      <c r="J21" s="29"/>
      <c r="K21" s="19" t="s">
        <v>7</v>
      </c>
      <c r="M21" s="38"/>
      <c r="O21" s="38"/>
    </row>
    <row r="22">
      <c r="A22" s="19">
        <v>0.0</v>
      </c>
      <c r="B22" s="9"/>
      <c r="C22" s="19">
        <v>0.0</v>
      </c>
      <c r="D22" s="9"/>
      <c r="E22" s="44">
        <v>0.0</v>
      </c>
      <c r="F22" s="44"/>
      <c r="G22" s="44">
        <v>0.0</v>
      </c>
      <c r="H22" s="9"/>
      <c r="I22" s="16"/>
      <c r="J22" s="9"/>
      <c r="K22" s="16"/>
      <c r="M22" s="38"/>
      <c r="O22" s="38"/>
    </row>
    <row r="23">
      <c r="A23" s="19">
        <v>0.0</v>
      </c>
      <c r="B23" s="9"/>
      <c r="C23" s="19">
        <v>0.0</v>
      </c>
      <c r="D23" s="9"/>
      <c r="E23" s="44">
        <v>0.0</v>
      </c>
      <c r="F23" s="44"/>
      <c r="G23" s="44">
        <v>0.0</v>
      </c>
      <c r="H23" s="9"/>
      <c r="I23" s="16"/>
      <c r="J23" s="9"/>
      <c r="K23" s="16"/>
      <c r="M23" s="38"/>
      <c r="O23" s="38"/>
    </row>
    <row r="24">
      <c r="A24" s="19">
        <v>0.0</v>
      </c>
      <c r="B24" s="10"/>
      <c r="C24" s="19">
        <v>0.0</v>
      </c>
      <c r="D24" s="9"/>
      <c r="E24" s="44">
        <v>0.0</v>
      </c>
      <c r="F24" s="44"/>
      <c r="G24" s="44">
        <v>0.0</v>
      </c>
      <c r="H24" s="9"/>
      <c r="I24" s="16"/>
      <c r="J24" s="9"/>
      <c r="K24" s="16"/>
      <c r="M24" s="38"/>
      <c r="O24" s="38"/>
    </row>
    <row r="25">
      <c r="A25" s="19">
        <v>0.0</v>
      </c>
      <c r="B25" s="9"/>
      <c r="C25" s="19">
        <v>0.0</v>
      </c>
      <c r="D25" s="9"/>
      <c r="E25" s="44">
        <v>0.0</v>
      </c>
      <c r="F25" s="44"/>
      <c r="G25" s="44">
        <v>0.0</v>
      </c>
      <c r="H25" s="9"/>
      <c r="I25" s="16"/>
      <c r="J25" s="9"/>
      <c r="K25" s="16"/>
      <c r="M25" s="38"/>
      <c r="O25" s="38"/>
    </row>
    <row r="26">
      <c r="A26" s="19">
        <v>0.0</v>
      </c>
      <c r="B26" s="9"/>
      <c r="C26" s="19">
        <v>0.0</v>
      </c>
      <c r="D26" s="9"/>
      <c r="E26" s="44">
        <v>0.0</v>
      </c>
      <c r="F26" s="44"/>
      <c r="G26" s="44">
        <v>0.0</v>
      </c>
      <c r="H26" s="9"/>
      <c r="I26" s="16"/>
      <c r="J26" s="9"/>
      <c r="K26" s="16"/>
      <c r="M26" s="38"/>
      <c r="O26" s="38"/>
    </row>
    <row r="27">
      <c r="A27" s="19">
        <v>0.0</v>
      </c>
      <c r="B27" s="9"/>
      <c r="C27" s="19">
        <v>0.0</v>
      </c>
      <c r="D27" s="9"/>
      <c r="E27" s="44">
        <v>0.0</v>
      </c>
      <c r="F27" s="44"/>
      <c r="G27" s="44">
        <v>0.0</v>
      </c>
      <c r="H27" s="9"/>
      <c r="I27" s="16"/>
      <c r="J27" s="9"/>
      <c r="K27" s="16"/>
      <c r="M27" s="38"/>
      <c r="O27" s="38"/>
    </row>
    <row r="28">
      <c r="A28" s="19">
        <v>0.0</v>
      </c>
      <c r="B28" s="9"/>
      <c r="C28" s="19">
        <v>0.0</v>
      </c>
      <c r="D28" s="9"/>
      <c r="E28" s="44">
        <v>0.0</v>
      </c>
      <c r="F28" s="44"/>
      <c r="G28" s="44">
        <v>0.0</v>
      </c>
      <c r="H28" s="9"/>
      <c r="I28" s="16"/>
      <c r="J28" s="9"/>
      <c r="K28" s="16"/>
      <c r="M28" s="38"/>
      <c r="O28" s="38"/>
    </row>
    <row r="29">
      <c r="A29" s="19">
        <v>0.0</v>
      </c>
      <c r="B29" s="9"/>
      <c r="C29" s="19">
        <v>0.0</v>
      </c>
      <c r="D29" s="9"/>
      <c r="E29" s="44">
        <v>0.0</v>
      </c>
      <c r="F29" s="44"/>
      <c r="G29" s="44">
        <v>0.0</v>
      </c>
      <c r="H29" s="9"/>
      <c r="I29" s="16"/>
      <c r="J29" s="9"/>
      <c r="K29" s="16"/>
      <c r="M29" s="38"/>
      <c r="O29" s="38"/>
    </row>
    <row r="30">
      <c r="A30" s="21">
        <f>SUM(A3:A29)</f>
        <v>6481.0492</v>
      </c>
      <c r="B30" s="21"/>
      <c r="C30" s="21">
        <f>SUM(C3:C29)</f>
        <v>6871.810345</v>
      </c>
      <c r="D30" s="21"/>
      <c r="E30" s="21">
        <f>SUM(E3:E29)</f>
        <v>6416.0796</v>
      </c>
      <c r="F30" s="23"/>
      <c r="G30" s="21">
        <f>SUM(G3:G29)</f>
        <v>6156.9026</v>
      </c>
      <c r="H30" s="9"/>
      <c r="I30" s="21"/>
      <c r="J30" s="9"/>
      <c r="K30" s="21"/>
      <c r="M30" s="39"/>
      <c r="O30" s="39"/>
    </row>
    <row r="31">
      <c r="A31" s="8" t="s">
        <v>8</v>
      </c>
      <c r="B31" s="23">
        <f>A30+C30+E30+G30+I30+K30</f>
        <v>25925.84174</v>
      </c>
    </row>
    <row r="32">
      <c r="A32" s="24">
        <f>(A30-3421.12)*18%</f>
        <v>550.787256</v>
      </c>
      <c r="B32" s="41"/>
      <c r="C32" s="41">
        <f>(C30-2274.94)*18%</f>
        <v>827.4366621</v>
      </c>
      <c r="D32" s="41"/>
      <c r="E32" s="41">
        <f>(E30-2986.93)*14%</f>
        <v>480.080944</v>
      </c>
      <c r="F32" s="41"/>
      <c r="G32" s="41">
        <f>(G30-2332.58)*14%</f>
        <v>535.405164</v>
      </c>
    </row>
    <row r="33">
      <c r="C33" s="25" t="s">
        <v>9</v>
      </c>
    </row>
    <row r="35">
      <c r="E35" s="25" t="s">
        <v>3</v>
      </c>
      <c r="F35" s="26">
        <f>B31</f>
        <v>25925.84174</v>
      </c>
      <c r="G35" s="26">
        <v>25925.841744827587</v>
      </c>
    </row>
    <row r="36">
      <c r="E36" s="25" t="s">
        <v>5</v>
      </c>
      <c r="F36" s="38">
        <f>A32+C32+E32+G32+I32+K32</f>
        <v>2393.710026</v>
      </c>
      <c r="G36" s="38">
        <v>2393.710026068966</v>
      </c>
    </row>
    <row r="37">
      <c r="F37" s="38"/>
    </row>
  </sheetData>
  <mergeCells count="2">
    <mergeCell ref="A1:K1"/>
    <mergeCell ref="B31:K3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4" width="27.88"/>
    <col customWidth="1" min="5" max="5" width="18.5"/>
    <col customWidth="1" min="6" max="6" width="15.63"/>
    <col customWidth="1" min="13" max="13" width="14.25"/>
    <col customWidth="1" min="15" max="15" width="14.25"/>
  </cols>
  <sheetData>
    <row r="1">
      <c r="A1" s="50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>
      <c r="A2" s="5" t="s">
        <v>20</v>
      </c>
      <c r="B2" s="5"/>
      <c r="C2" s="5" t="s">
        <v>21</v>
      </c>
      <c r="D2" s="5"/>
      <c r="E2" s="8" t="s">
        <v>22</v>
      </c>
      <c r="F2" s="7"/>
      <c r="G2" s="8" t="s">
        <v>23</v>
      </c>
      <c r="H2" s="7"/>
      <c r="I2" s="8" t="s">
        <v>24</v>
      </c>
      <c r="J2" s="7"/>
      <c r="K2" s="8" t="s">
        <v>25</v>
      </c>
      <c r="L2" s="7"/>
      <c r="M2" s="8" t="s">
        <v>26</v>
      </c>
      <c r="N2" s="7"/>
      <c r="O2" s="8" t="s">
        <v>27</v>
      </c>
      <c r="P2" s="7"/>
      <c r="Q2" s="8" t="s">
        <v>28</v>
      </c>
      <c r="R2" s="37"/>
      <c r="S2" s="35" t="s">
        <v>29</v>
      </c>
    </row>
    <row r="3">
      <c r="A3" s="45">
        <v>42731.2542</v>
      </c>
      <c r="B3" s="10" t="s">
        <v>3</v>
      </c>
      <c r="C3" s="45">
        <v>15392.9222</v>
      </c>
      <c r="D3" s="10" t="s">
        <v>3</v>
      </c>
      <c r="E3" s="45">
        <v>5899.9768</v>
      </c>
      <c r="F3" s="10" t="s">
        <v>3</v>
      </c>
      <c r="G3" s="45">
        <v>5303.8532000000005</v>
      </c>
      <c r="H3" s="10" t="s">
        <v>3</v>
      </c>
      <c r="I3" s="45">
        <v>2622.2442</v>
      </c>
      <c r="J3" s="10" t="s">
        <v>3</v>
      </c>
      <c r="K3" s="45">
        <v>10363.5685</v>
      </c>
      <c r="L3" s="10" t="s">
        <v>3</v>
      </c>
      <c r="M3" s="45">
        <v>11972.478</v>
      </c>
      <c r="N3" s="10" t="s">
        <v>3</v>
      </c>
      <c r="O3" s="16">
        <v>18663.529599999998</v>
      </c>
      <c r="P3" s="10" t="s">
        <v>3</v>
      </c>
      <c r="Q3" s="45">
        <v>4173.5205000000005</v>
      </c>
      <c r="R3" s="10" t="s">
        <v>3</v>
      </c>
      <c r="S3" s="45">
        <v>25925.841744827587</v>
      </c>
    </row>
    <row r="4">
      <c r="A4" s="45">
        <v>3984.84213</v>
      </c>
      <c r="B4" s="10" t="s">
        <v>5</v>
      </c>
      <c r="C4" s="45">
        <v>1830.691455</v>
      </c>
      <c r="D4" s="10" t="s">
        <v>5</v>
      </c>
      <c r="E4" s="45">
        <v>611.6492560000002</v>
      </c>
      <c r="F4" s="10" t="s">
        <v>5</v>
      </c>
      <c r="G4" s="45">
        <v>490.5100440000001</v>
      </c>
      <c r="H4" s="10" t="s">
        <v>5</v>
      </c>
      <c r="I4" s="45">
        <v>267.581556</v>
      </c>
      <c r="J4" s="10" t="s">
        <v>5</v>
      </c>
      <c r="K4" s="45">
        <v>856.7349299999998</v>
      </c>
      <c r="L4" s="10" t="s">
        <v>5</v>
      </c>
      <c r="M4" s="45">
        <v>1565.7410579999998</v>
      </c>
      <c r="N4" s="10" t="s">
        <v>5</v>
      </c>
      <c r="O4" s="16">
        <v>2799.52944</v>
      </c>
      <c r="P4" s="10" t="s">
        <v>5</v>
      </c>
      <c r="Q4" s="45">
        <v>-94.54310999999998</v>
      </c>
      <c r="R4" s="10" t="s">
        <v>5</v>
      </c>
      <c r="S4" s="16">
        <v>2393.710026068966</v>
      </c>
    </row>
    <row r="5">
      <c r="A5" s="16">
        <v>0.0</v>
      </c>
      <c r="B5" s="12"/>
      <c r="C5" s="16">
        <v>0.0</v>
      </c>
      <c r="D5" s="16"/>
      <c r="E5" s="16">
        <v>0.0</v>
      </c>
      <c r="F5" s="9"/>
      <c r="G5" s="16">
        <v>0.0</v>
      </c>
      <c r="H5" s="9"/>
      <c r="I5" s="16">
        <v>0.0</v>
      </c>
      <c r="J5" s="9"/>
      <c r="K5" s="16">
        <v>0.0</v>
      </c>
      <c r="L5" s="9"/>
      <c r="M5" s="16">
        <v>0.0</v>
      </c>
      <c r="N5" s="9"/>
      <c r="O5" s="16">
        <v>0.0</v>
      </c>
      <c r="P5" s="9"/>
      <c r="Q5" s="16">
        <v>0.0</v>
      </c>
      <c r="S5" s="16">
        <v>0.0</v>
      </c>
    </row>
    <row r="6">
      <c r="A6" s="16">
        <v>0.0</v>
      </c>
      <c r="B6" s="9"/>
      <c r="C6" s="16">
        <v>0.0</v>
      </c>
      <c r="D6" s="16"/>
      <c r="E6" s="16">
        <v>0.0</v>
      </c>
      <c r="F6" s="22"/>
      <c r="G6" s="16">
        <v>0.0</v>
      </c>
      <c r="H6" s="21"/>
      <c r="I6" s="16">
        <v>0.0</v>
      </c>
      <c r="J6" s="9"/>
      <c r="K6" s="16">
        <v>0.0</v>
      </c>
      <c r="L6" s="9"/>
      <c r="M6" s="51">
        <v>0.0</v>
      </c>
      <c r="N6" s="9"/>
      <c r="O6" s="16">
        <v>0.0</v>
      </c>
      <c r="P6" s="9"/>
      <c r="Q6" s="16">
        <v>0.0</v>
      </c>
      <c r="S6" s="16">
        <v>0.0</v>
      </c>
    </row>
    <row r="7">
      <c r="A7" s="42" t="s">
        <v>30</v>
      </c>
      <c r="B7" s="43">
        <f t="shared" ref="B7:B8" si="1">A3+C3+E3+G3+I3+K3+M3+O3+Q3+S3</f>
        <v>143049.1889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</row>
    <row r="8">
      <c r="A8" s="42" t="s">
        <v>31</v>
      </c>
      <c r="B8" s="43">
        <f t="shared" si="1"/>
        <v>14706.44679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/>
    </row>
  </sheetData>
  <mergeCells count="3">
    <mergeCell ref="A1:T1"/>
    <mergeCell ref="B7:T7"/>
    <mergeCell ref="B8:T8"/>
  </mergeCells>
  <drawing r:id="rId1"/>
</worksheet>
</file>