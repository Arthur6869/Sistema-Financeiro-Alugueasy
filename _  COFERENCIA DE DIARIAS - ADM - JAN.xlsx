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" sheetId="1" r:id="rId5"/>
    <sheet state="visible" name="EASY" sheetId="2" r:id="rId6"/>
    <sheet state="visible" name="CULLINAN" sheetId="3" r:id="rId7"/>
    <sheet state="visible" name="ATHOS" sheetId="4" r:id="rId8"/>
    <sheet state="visible" name="NOBILE" sheetId="5" r:id="rId9"/>
    <sheet state="visible" name="FUSION" sheetId="6" r:id="rId10"/>
    <sheet state="visible" name="MERCURE" sheetId="7" r:id="rId11"/>
    <sheet state="visible" name="METROPOLITAN" sheetId="8" r:id="rId12"/>
    <sheet state="visible" name="BRISAS" sheetId="9" r:id="rId13"/>
    <sheet state="visible" name="RESULTADO ADM MES" sheetId="10" r:id="rId14"/>
  </sheets>
  <definedNames/>
  <calcPr/>
</workbook>
</file>

<file path=xl/sharedStrings.xml><?xml version="1.0" encoding="utf-8"?>
<sst xmlns="http://schemas.openxmlformats.org/spreadsheetml/2006/main" count="74" uniqueCount="25">
  <si>
    <t>JAN</t>
  </si>
  <si>
    <t>TOTAL:</t>
  </si>
  <si>
    <t>FAT</t>
  </si>
  <si>
    <t>LUC</t>
  </si>
  <si>
    <t>TOTAL</t>
  </si>
  <si>
    <t>1615A</t>
  </si>
  <si>
    <t>1615A - 1615</t>
  </si>
  <si>
    <t>1701A</t>
  </si>
  <si>
    <t>1701 - 1701A</t>
  </si>
  <si>
    <t>D137</t>
  </si>
  <si>
    <t>D138</t>
  </si>
  <si>
    <t>E016</t>
  </si>
  <si>
    <t>JAN - ADM</t>
  </si>
  <si>
    <t>ESSENCE</t>
  </si>
  <si>
    <t>EASY</t>
  </si>
  <si>
    <t>CULLINAN</t>
  </si>
  <si>
    <t>ATHOS</t>
  </si>
  <si>
    <t>NOBILE</t>
  </si>
  <si>
    <t>FUSION</t>
  </si>
  <si>
    <t>MERCURE</t>
  </si>
  <si>
    <t>METROPOLITAN</t>
  </si>
  <si>
    <t>BRISAS</t>
  </si>
  <si>
    <t>TOTAL FAT</t>
  </si>
  <si>
    <t>TOTAL LUC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</si>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</sst>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rgb="FF333333"/>
      <name val="Overpas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3" fontId="6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3" numFmtId="164" xfId="0" applyAlignment="1" applyFont="1" applyNumberFormat="1">
      <alignment horizontal="center"/>
    </xf>
    <xf borderId="0" fillId="3" fontId="4" numFmtId="164" xfId="0" applyAlignment="1" applyFont="1" applyNumberFormat="1">
      <alignment horizontal="center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0" fillId="3" fontId="4" numFmtId="0" xfId="0" applyAlignment="1" applyFont="1">
      <alignment horizontal="center" readingOrder="0"/>
    </xf>
    <xf borderId="0" fillId="3" fontId="4" numFmtId="0" xfId="0" applyAlignment="1" applyFont="1">
      <alignment horizontal="center"/>
    </xf>
    <xf borderId="0" fillId="3" fontId="5" numFmtId="164" xfId="0" applyAlignment="1" applyFont="1" applyNumberFormat="1">
      <alignment horizontal="center" readingOrder="0"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0" fillId="3" fontId="1" numFmtId="16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3" fontId="4" numFmtId="0" xfId="0" applyFont="1"/>
    <xf borderId="0" fillId="0" fontId="3" numFmtId="164" xfId="0" applyFont="1" applyNumberFormat="1"/>
    <xf borderId="0" fillId="0" fontId="7" numFmtId="164" xfId="0" applyAlignment="1" applyFont="1" applyNumberFormat="1">
      <alignment horizontal="center" vertical="bottom"/>
    </xf>
    <xf borderId="0" fillId="3" fontId="4" numFmtId="164" xfId="0" applyFont="1" applyNumberFormat="1"/>
    <xf borderId="1" fillId="3" fontId="3" numFmtId="0" xfId="0" applyAlignment="1" applyBorder="1" applyFont="1">
      <alignment horizontal="center" readingOrder="0"/>
    </xf>
    <xf borderId="1" fillId="3" fontId="3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right" readingOrder="0"/>
    </xf>
    <xf borderId="1" fillId="3" fontId="1" numFmtId="0" xfId="0" applyAlignment="1" applyBorder="1" applyFont="1">
      <alignment horizontal="center" readingOrder="0" shrinkToFit="0" vertical="top" wrapText="0"/>
    </xf>
    <xf borderId="0" fillId="0" fontId="4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>
        <v>204.0</v>
      </c>
      <c r="B2" s="5"/>
      <c r="C2" s="6">
        <v>301.0</v>
      </c>
      <c r="D2" s="7"/>
      <c r="E2" s="6">
        <v>404.0</v>
      </c>
      <c r="F2" s="7"/>
      <c r="G2" s="6">
        <v>502.0</v>
      </c>
      <c r="H2" s="7"/>
      <c r="I2" s="6">
        <v>504.0</v>
      </c>
      <c r="J2" s="7"/>
      <c r="K2" s="6">
        <v>602.0</v>
      </c>
      <c r="L2" s="8"/>
      <c r="M2" s="6">
        <v>702.0</v>
      </c>
      <c r="N2" s="9"/>
      <c r="O2" s="10"/>
    </row>
    <row r="3">
      <c r="A3" s="11">
        <v>544.23</v>
      </c>
      <c r="B3" s="12"/>
      <c r="C3" s="11">
        <f>(759-121.44)/2</f>
        <v>318.78</v>
      </c>
      <c r="D3" s="10"/>
      <c r="E3" s="13">
        <f> 511.68-( 511.68*16%)</f>
        <v>429.8112</v>
      </c>
      <c r="F3" s="9"/>
      <c r="G3" s="13">
        <v>453.9</v>
      </c>
      <c r="H3" s="9"/>
      <c r="I3" s="13">
        <f>( 1994.4-319.1)/3*1</f>
        <v>558.4333333</v>
      </c>
      <c r="J3" s="10"/>
      <c r="K3" s="13">
        <f> 856.12-( 856.12*16%)</f>
        <v>719.1408</v>
      </c>
      <c r="L3" s="13"/>
      <c r="M3" s="13">
        <v>388.49</v>
      </c>
      <c r="N3" s="9"/>
      <c r="O3" s="13"/>
    </row>
    <row r="4">
      <c r="A4" s="11">
        <v>848.87</v>
      </c>
      <c r="B4" s="12"/>
      <c r="C4" s="11">
        <v>422.05</v>
      </c>
      <c r="D4" s="10"/>
      <c r="E4" s="13">
        <v>875.12</v>
      </c>
      <c r="F4" s="9"/>
      <c r="G4" s="13">
        <f>283.02-(283.02*16%)</f>
        <v>237.7368</v>
      </c>
      <c r="H4" s="9"/>
      <c r="I4" s="13">
        <f>498.41-(498.41*16%)</f>
        <v>418.6644</v>
      </c>
      <c r="J4" s="9"/>
      <c r="K4" s="13">
        <f>  1500-(  1500*10%)</f>
        <v>1350</v>
      </c>
      <c r="L4" s="9"/>
      <c r="M4" s="13">
        <v>217.56</v>
      </c>
      <c r="N4" s="9"/>
      <c r="O4" s="13"/>
    </row>
    <row r="5">
      <c r="A5" s="11">
        <f> 1525.72-( 1525.72*16%)</f>
        <v>1281.6048</v>
      </c>
      <c r="C5" s="11">
        <v>217.56</v>
      </c>
      <c r="D5" s="10"/>
      <c r="E5" s="13">
        <v>217.56</v>
      </c>
      <c r="F5" s="9"/>
      <c r="G5" s="13">
        <v>208.55</v>
      </c>
      <c r="H5" s="9"/>
      <c r="I5" s="13">
        <f>457.7-(457.7*16%)</f>
        <v>384.468</v>
      </c>
      <c r="J5" s="9"/>
      <c r="K5" s="13">
        <f>  1279-(  1279*10%)</f>
        <v>1151.1</v>
      </c>
      <c r="L5" s="9"/>
      <c r="M5" s="13">
        <v>673.11</v>
      </c>
      <c r="N5" s="9"/>
      <c r="O5" s="13"/>
    </row>
    <row r="6">
      <c r="A6" s="11">
        <f> 450-(450*10%)</f>
        <v>405</v>
      </c>
      <c r="B6" s="11"/>
      <c r="C6" s="11">
        <f t="shared" ref="C6:C8" si="1"> 300-( 300*10%)</f>
        <v>270</v>
      </c>
      <c r="D6" s="10"/>
      <c r="E6" s="13">
        <v>208.55</v>
      </c>
      <c r="F6" s="9"/>
      <c r="G6" s="13">
        <v>208.55</v>
      </c>
      <c r="H6" s="9"/>
      <c r="I6" s="13">
        <f>907.35-(907.35*16%)</f>
        <v>762.174</v>
      </c>
      <c r="J6" s="9"/>
      <c r="K6" s="13">
        <f t="shared" ref="K6:K7" si="2">  320-(  320*10%)</f>
        <v>288</v>
      </c>
      <c r="L6" s="9"/>
      <c r="M6" s="13">
        <v>246.18</v>
      </c>
      <c r="N6" s="9"/>
      <c r="O6" s="13"/>
    </row>
    <row r="7">
      <c r="A7" s="11">
        <v>721.03</v>
      </c>
      <c r="B7" s="11"/>
      <c r="C7" s="11">
        <f t="shared" si="1"/>
        <v>270</v>
      </c>
      <c r="D7" s="10"/>
      <c r="E7" s="14">
        <f> 256.57-( 256.57*16%)</f>
        <v>215.5188</v>
      </c>
      <c r="F7" s="10"/>
      <c r="G7" s="13">
        <v>929.11</v>
      </c>
      <c r="H7" s="9"/>
      <c r="I7" s="13">
        <f>247.25-(247.25*16%)</f>
        <v>207.69</v>
      </c>
      <c r="J7" s="9"/>
      <c r="K7" s="13">
        <f t="shared" si="2"/>
        <v>288</v>
      </c>
      <c r="L7" s="9"/>
      <c r="M7" s="13">
        <v>237.19</v>
      </c>
      <c r="N7" s="9"/>
      <c r="O7" s="13"/>
    </row>
    <row r="8">
      <c r="A8" s="11">
        <f>278.88-(278.88*16%)</f>
        <v>234.2592</v>
      </c>
      <c r="B8" s="9"/>
      <c r="C8" s="11">
        <f t="shared" si="1"/>
        <v>270</v>
      </c>
      <c r="D8" s="10"/>
      <c r="E8" s="13">
        <v>435.11</v>
      </c>
      <c r="F8" s="9"/>
      <c r="G8" s="13">
        <v>227.36</v>
      </c>
      <c r="H8" s="9"/>
      <c r="I8" s="14">
        <f> 256.57-( 256.57*16%)</f>
        <v>215.5188</v>
      </c>
      <c r="J8" s="10"/>
      <c r="K8" s="13">
        <f>  250-(  250*10%)</f>
        <v>225</v>
      </c>
      <c r="L8" s="9"/>
      <c r="M8" s="13">
        <v>217.56</v>
      </c>
      <c r="N8" s="9"/>
      <c r="O8" s="13"/>
    </row>
    <row r="9">
      <c r="A9" s="11">
        <v>256.0</v>
      </c>
      <c r="B9" s="12"/>
      <c r="C9" s="11">
        <v>376.22</v>
      </c>
      <c r="D9" s="10"/>
      <c r="E9" s="13">
        <v>235.54</v>
      </c>
      <c r="F9" s="9"/>
      <c r="G9" s="13">
        <v>1926.91</v>
      </c>
      <c r="H9" s="9"/>
      <c r="I9" s="13">
        <v>246.18</v>
      </c>
      <c r="J9" s="9"/>
      <c r="K9" s="13">
        <v>356.59</v>
      </c>
      <c r="L9" s="9"/>
      <c r="M9" s="13">
        <v>246.18</v>
      </c>
      <c r="N9" s="9"/>
      <c r="O9" s="13"/>
    </row>
    <row r="10">
      <c r="A10" s="11">
        <v>277.67</v>
      </c>
      <c r="B10" s="12"/>
      <c r="C10" s="11">
        <v>220.55</v>
      </c>
      <c r="D10" s="10"/>
      <c r="E10" s="13">
        <v>227.36</v>
      </c>
      <c r="F10" s="9"/>
      <c r="G10" s="13">
        <v>435.11</v>
      </c>
      <c r="H10" s="9"/>
      <c r="I10" s="13">
        <f> 270-( 270*10%)</f>
        <v>243</v>
      </c>
      <c r="J10" s="9"/>
      <c r="K10" s="13">
        <f>   892.6-(   892.6*16%)</f>
        <v>749.784</v>
      </c>
      <c r="L10" s="9"/>
      <c r="M10" s="13">
        <v>898.02</v>
      </c>
      <c r="N10" s="9"/>
      <c r="O10" s="13"/>
    </row>
    <row r="11">
      <c r="A11" s="11">
        <v>276.09</v>
      </c>
      <c r="B11" s="12"/>
      <c r="C11" s="11">
        <v>435.92</v>
      </c>
      <c r="D11" s="10"/>
      <c r="E11" s="13">
        <v>217.56</v>
      </c>
      <c r="F11" s="9"/>
      <c r="G11" s="13">
        <v>256.0</v>
      </c>
      <c r="H11" s="9"/>
      <c r="I11" s="13">
        <f> 300-( 300*10%)</f>
        <v>270</v>
      </c>
      <c r="J11" s="9"/>
      <c r="K11" s="13">
        <f t="shared" ref="K11:K12" si="3"> 300-( 300*10%)</f>
        <v>270</v>
      </c>
      <c r="L11" s="9"/>
      <c r="M11" s="13">
        <v>217.56</v>
      </c>
      <c r="N11" s="9"/>
      <c r="O11" s="13"/>
    </row>
    <row r="12">
      <c r="A12" s="11">
        <v>276.09</v>
      </c>
      <c r="B12" s="12"/>
      <c r="C12" s="11">
        <v>422.05</v>
      </c>
      <c r="D12" s="10"/>
      <c r="E12" s="13">
        <v>478.45</v>
      </c>
      <c r="F12" s="9"/>
      <c r="G12" s="13">
        <v>237.19</v>
      </c>
      <c r="H12" s="9"/>
      <c r="I12" s="15">
        <v>227.36</v>
      </c>
      <c r="J12" s="9"/>
      <c r="K12" s="13">
        <f t="shared" si="3"/>
        <v>270</v>
      </c>
      <c r="L12" s="9"/>
      <c r="M12" s="13">
        <v>235.54</v>
      </c>
      <c r="N12" s="9"/>
      <c r="O12" s="13"/>
    </row>
    <row r="13">
      <c r="A13" s="11">
        <v>220.55</v>
      </c>
      <c r="B13" s="10"/>
      <c r="C13" s="11">
        <f>286.46-(286.46*16%)</f>
        <v>240.6264</v>
      </c>
      <c r="D13" s="10"/>
      <c r="E13" s="13">
        <v>217.56</v>
      </c>
      <c r="F13" s="9"/>
      <c r="G13" s="13">
        <v>526.71</v>
      </c>
      <c r="H13" s="9"/>
      <c r="I13" s="13">
        <f>474.38-(474.38*16%)</f>
        <v>398.4792</v>
      </c>
      <c r="J13" s="9"/>
      <c r="K13" s="13">
        <f> 280-( 280*10%)</f>
        <v>252</v>
      </c>
      <c r="L13" s="9"/>
      <c r="M13" s="13">
        <v>237.21</v>
      </c>
      <c r="N13" s="9"/>
      <c r="O13" s="13"/>
    </row>
    <row r="14">
      <c r="A14" s="11">
        <f>284.28-(284.28*16%)</f>
        <v>238.7952</v>
      </c>
      <c r="B14" s="12"/>
      <c r="C14" s="11">
        <v>230.06</v>
      </c>
      <c r="D14" s="10"/>
      <c r="E14" s="13">
        <v>237.19</v>
      </c>
      <c r="F14" s="9"/>
      <c r="G14" s="13">
        <v>265.0</v>
      </c>
      <c r="H14" s="9"/>
      <c r="I14" s="13">
        <v>237.19</v>
      </c>
      <c r="J14" s="9"/>
      <c r="K14" s="13">
        <f> 343.57-( 343.57*16%)</f>
        <v>288.5988</v>
      </c>
      <c r="L14" s="9"/>
      <c r="M14" s="13">
        <f>264.5-(264.5*16%)</f>
        <v>222.18</v>
      </c>
      <c r="N14" s="9"/>
      <c r="O14" s="13"/>
    </row>
    <row r="15">
      <c r="A15" s="11">
        <v>230.06</v>
      </c>
      <c r="B15" s="12"/>
      <c r="C15" s="11">
        <v>284.61</v>
      </c>
      <c r="D15" s="10"/>
      <c r="E15" s="13">
        <v>284.61</v>
      </c>
      <c r="F15" s="9"/>
      <c r="G15" s="13">
        <v>540.61</v>
      </c>
      <c r="H15" s="9"/>
      <c r="I15" s="13">
        <f>276-(276*16%)</f>
        <v>231.84</v>
      </c>
      <c r="J15" s="9"/>
      <c r="K15" s="13">
        <v>309.15</v>
      </c>
      <c r="L15" s="9"/>
      <c r="M15" s="13">
        <v>246.18</v>
      </c>
      <c r="N15" s="9"/>
      <c r="O15" s="13"/>
    </row>
    <row r="16">
      <c r="A16" s="11">
        <v>227.36</v>
      </c>
      <c r="B16" s="12"/>
      <c r="C16" s="11">
        <v>257.05</v>
      </c>
      <c r="D16" s="10"/>
      <c r="E16" s="13">
        <v>415.48</v>
      </c>
      <c r="F16" s="9"/>
      <c r="G16" s="13">
        <v>237.19</v>
      </c>
      <c r="H16" s="9"/>
      <c r="I16" s="13">
        <v>381.95</v>
      </c>
      <c r="J16" s="9"/>
      <c r="K16" s="13">
        <f>307.62-(307.62*16%)</f>
        <v>258.4008</v>
      </c>
      <c r="L16" s="9"/>
      <c r="M16" s="13">
        <v>560.24</v>
      </c>
      <c r="N16" s="9"/>
      <c r="O16" s="13"/>
    </row>
    <row r="17">
      <c r="A17" s="11">
        <f>343.5-(343.5*16%)</f>
        <v>288.54</v>
      </c>
      <c r="B17" s="12"/>
      <c r="C17" s="11">
        <v>220.55</v>
      </c>
      <c r="D17" s="10"/>
      <c r="E17" s="13">
        <v>454.73</v>
      </c>
      <c r="F17" s="9"/>
      <c r="G17" s="13">
        <v>237.19</v>
      </c>
      <c r="H17" s="9"/>
      <c r="I17" s="13">
        <v>292.79</v>
      </c>
      <c r="J17" s="9"/>
      <c r="K17" s="13">
        <f>( 948.72)/2*1</f>
        <v>474.36</v>
      </c>
      <c r="L17" s="9"/>
      <c r="M17" s="13">
        <f>310.5-(310.5*16%)</f>
        <v>260.82</v>
      </c>
      <c r="N17" s="9"/>
      <c r="O17" s="13"/>
    </row>
    <row r="18">
      <c r="A18" s="11">
        <f> 319.81-( 319.81*16%)</f>
        <v>268.6404</v>
      </c>
      <c r="B18" s="9"/>
      <c r="C18" s="11">
        <f> 290.95-( 290.95*16%)</f>
        <v>244.398</v>
      </c>
      <c r="D18" s="10"/>
      <c r="E18" s="13">
        <v>967.54</v>
      </c>
      <c r="F18" s="9"/>
      <c r="G18" s="13">
        <v>246.18</v>
      </c>
      <c r="H18" s="9"/>
      <c r="I18" s="13">
        <v>217.56</v>
      </c>
      <c r="J18" s="9"/>
      <c r="K18" s="13">
        <v>0.0</v>
      </c>
      <c r="L18" s="9"/>
      <c r="M18" s="13">
        <v>246.18</v>
      </c>
      <c r="N18" s="9"/>
      <c r="O18" s="13"/>
    </row>
    <row r="19">
      <c r="A19" s="11">
        <f> 267.72-( 267.72*16%)</f>
        <v>224.8848</v>
      </c>
      <c r="B19" s="12"/>
      <c r="C19" s="11">
        <v>217.56</v>
      </c>
      <c r="D19" s="10"/>
      <c r="E19" s="13">
        <v>295.25</v>
      </c>
      <c r="F19" s="9"/>
      <c r="G19" s="13">
        <v>237.19</v>
      </c>
      <c r="H19" s="9"/>
      <c r="I19" s="13">
        <v>502.17</v>
      </c>
      <c r="J19" s="9"/>
      <c r="K19" s="13">
        <v>0.0</v>
      </c>
      <c r="L19" s="9"/>
      <c r="M19" s="13">
        <v>246.18</v>
      </c>
      <c r="N19" s="9"/>
      <c r="O19" s="13"/>
    </row>
    <row r="20">
      <c r="A20" s="11">
        <f>(1103.96-176.63)/2*1</f>
        <v>463.665</v>
      </c>
      <c r="B20" s="12"/>
      <c r="C20" s="11">
        <v>257.05</v>
      </c>
      <c r="D20" s="10"/>
      <c r="E20" s="13">
        <v>227.36</v>
      </c>
      <c r="F20" s="9"/>
      <c r="G20" s="13">
        <v>246.18</v>
      </c>
      <c r="H20" s="9"/>
      <c r="I20" s="13">
        <v>217.56</v>
      </c>
      <c r="J20" s="9"/>
      <c r="K20" s="13">
        <v>0.0</v>
      </c>
      <c r="L20" s="9"/>
      <c r="M20" s="13">
        <v>372.13</v>
      </c>
      <c r="N20" s="9"/>
      <c r="O20" s="13"/>
    </row>
    <row r="21">
      <c r="A21" s="11">
        <v>0.0</v>
      </c>
      <c r="B21" s="12"/>
      <c r="C21" s="11">
        <v>540.61</v>
      </c>
      <c r="D21" s="10"/>
      <c r="E21" s="13">
        <f>1672.93-(1672.93*16%)</f>
        <v>1405.2612</v>
      </c>
      <c r="F21" s="9"/>
      <c r="G21" s="13">
        <v>469.46</v>
      </c>
      <c r="H21" s="9"/>
      <c r="I21" s="13">
        <v>237.19</v>
      </c>
      <c r="J21" s="9"/>
      <c r="K21" s="13">
        <v>0.0</v>
      </c>
      <c r="L21" s="9"/>
      <c r="M21" s="13">
        <f>425.5-(425.5*16%)</f>
        <v>357.42</v>
      </c>
      <c r="N21" s="9"/>
      <c r="O21" s="13"/>
    </row>
    <row r="22">
      <c r="A22" s="11">
        <v>0.0</v>
      </c>
      <c r="B22" s="9"/>
      <c r="C22" s="11">
        <f>306.77-(306.77*16%)
</f>
        <v>257.6868</v>
      </c>
      <c r="D22" s="10"/>
      <c r="E22" s="13">
        <f>(903.54-144.56)/2*1</f>
        <v>379.49</v>
      </c>
      <c r="F22" s="9"/>
      <c r="G22" s="13">
        <v>0.0</v>
      </c>
      <c r="H22" s="9"/>
      <c r="I22" s="13">
        <v>388.49</v>
      </c>
      <c r="J22" s="9"/>
      <c r="K22" s="13">
        <v>0.0</v>
      </c>
      <c r="L22" s="9"/>
      <c r="M22" s="13">
        <f>(  715.64)/2*1</f>
        <v>357.82</v>
      </c>
      <c r="N22" s="9"/>
      <c r="O22" s="13"/>
    </row>
    <row r="23">
      <c r="A23" s="11">
        <v>0.0</v>
      </c>
      <c r="B23" s="9"/>
      <c r="C23" s="11">
        <f> 300-( 300*10%)</f>
        <v>270</v>
      </c>
      <c r="D23" s="10"/>
      <c r="E23" s="13">
        <v>0.0</v>
      </c>
      <c r="F23" s="9"/>
      <c r="G23" s="13">
        <v>0.0</v>
      </c>
      <c r="H23" s="10"/>
      <c r="I23" s="13">
        <v>265.0</v>
      </c>
      <c r="J23" s="9"/>
      <c r="K23" s="13">
        <v>0.0</v>
      </c>
      <c r="L23" s="9"/>
      <c r="M23" s="13">
        <v>0.0</v>
      </c>
      <c r="N23" s="9"/>
      <c r="O23" s="13"/>
    </row>
    <row r="24">
      <c r="A24" s="11">
        <v>0.0</v>
      </c>
      <c r="B24" s="9"/>
      <c r="C24" s="11">
        <v>220.55</v>
      </c>
      <c r="D24" s="11"/>
      <c r="E24" s="13">
        <v>0.0</v>
      </c>
      <c r="F24" s="9"/>
      <c r="G24" s="13">
        <v>0.0</v>
      </c>
      <c r="H24" s="9"/>
      <c r="I24" s="13">
        <f> 809.2-( 809.2*16%)</f>
        <v>679.728</v>
      </c>
      <c r="J24" s="9"/>
      <c r="K24" s="13">
        <v>0.0</v>
      </c>
      <c r="L24" s="9"/>
      <c r="M24" s="13">
        <v>0.0</v>
      </c>
      <c r="N24" s="9"/>
      <c r="O24" s="13"/>
    </row>
    <row r="25">
      <c r="A25" s="11">
        <v>0.0</v>
      </c>
      <c r="B25" s="9"/>
      <c r="C25" s="11">
        <v>217.56</v>
      </c>
      <c r="D25" s="11"/>
      <c r="E25" s="13">
        <v>0.0</v>
      </c>
      <c r="F25" s="9"/>
      <c r="G25" s="13">
        <v>0.0</v>
      </c>
      <c r="H25" s="9"/>
      <c r="I25" s="13">
        <v>226.56</v>
      </c>
      <c r="J25" s="10"/>
      <c r="K25" s="13">
        <v>0.0</v>
      </c>
      <c r="L25" s="9"/>
      <c r="M25" s="13">
        <v>0.0</v>
      </c>
      <c r="N25" s="9"/>
      <c r="O25" s="13"/>
    </row>
    <row r="26">
      <c r="A26" s="11">
        <v>0.0</v>
      </c>
      <c r="B26" s="9"/>
      <c r="C26" s="11">
        <v>238.79</v>
      </c>
      <c r="D26" s="11"/>
      <c r="E26" s="13">
        <v>0.0</v>
      </c>
      <c r="F26" s="9"/>
      <c r="G26" s="13">
        <v>0.0</v>
      </c>
      <c r="H26" s="9"/>
      <c r="I26" s="13">
        <v>246.18</v>
      </c>
      <c r="J26" s="9"/>
      <c r="K26" s="13">
        <v>0.0</v>
      </c>
      <c r="L26" s="9"/>
      <c r="M26" s="13">
        <v>0.0</v>
      </c>
      <c r="N26" s="9"/>
      <c r="O26" s="13"/>
    </row>
    <row r="27">
      <c r="A27" s="11">
        <v>0.0</v>
      </c>
      <c r="B27" s="9"/>
      <c r="C27" s="11">
        <v>469.46</v>
      </c>
      <c r="D27" s="11"/>
      <c r="E27" s="13">
        <v>0.0</v>
      </c>
      <c r="F27" s="9"/>
      <c r="G27" s="13">
        <v>0.0</v>
      </c>
      <c r="H27" s="9"/>
      <c r="I27" s="13">
        <v>449.76</v>
      </c>
      <c r="J27" s="9"/>
      <c r="K27" s="13">
        <v>0.0</v>
      </c>
      <c r="L27" s="9"/>
      <c r="M27" s="13">
        <v>0.0</v>
      </c>
      <c r="N27" s="9"/>
      <c r="O27" s="13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L28" s="9"/>
      <c r="M28" s="13">
        <v>0.0</v>
      </c>
      <c r="N28" s="9"/>
      <c r="O28" s="13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L29" s="9"/>
      <c r="M29" s="13">
        <v>0.0</v>
      </c>
      <c r="N29" s="9"/>
      <c r="O29" s="13"/>
    </row>
    <row r="30">
      <c r="A30" s="16">
        <f>SUM(A3:A29)</f>
        <v>7283.3394</v>
      </c>
      <c r="B30" s="9"/>
      <c r="C30" s="16">
        <f>SUM(C3:C29)</f>
        <v>7389.6912</v>
      </c>
      <c r="D30" s="17"/>
      <c r="E30" s="16">
        <f>SUM(E3:E29)</f>
        <v>8425.0512</v>
      </c>
      <c r="F30" s="16"/>
      <c r="G30" s="16">
        <f>SUM(G3:G29)</f>
        <v>8126.1268</v>
      </c>
      <c r="H30" s="9"/>
      <c r="I30" s="16">
        <f>SUM(I3:I29)</f>
        <v>8505.935733</v>
      </c>
      <c r="J30" s="9"/>
      <c r="K30" s="16">
        <f>SUM(K3:K29)</f>
        <v>7250.1244</v>
      </c>
      <c r="L30" s="16"/>
      <c r="M30" s="16">
        <f>SUM(M3:M29)</f>
        <v>6683.75</v>
      </c>
      <c r="N30" s="9"/>
      <c r="O30" s="16"/>
    </row>
    <row r="31">
      <c r="A31" s="8" t="s">
        <v>1</v>
      </c>
      <c r="B31" s="18">
        <f>A30+C30+E30+G30+I30+K30+M30</f>
        <v>53664.01873</v>
      </c>
    </row>
    <row r="32">
      <c r="A32" s="19">
        <f>(A30-2569.94)*15%</f>
        <v>707.00991</v>
      </c>
      <c r="B32" s="19"/>
      <c r="C32" s="19">
        <f>(C30-2457.95)*15%</f>
        <v>739.76118</v>
      </c>
      <c r="D32" s="19"/>
      <c r="E32" s="19">
        <f>(E30-2433.24)*15%</f>
        <v>898.77168</v>
      </c>
      <c r="F32" s="19"/>
      <c r="G32" s="19">
        <f>(G30-2348.91)*15%</f>
        <v>866.58252</v>
      </c>
      <c r="H32" s="19"/>
      <c r="I32" s="19">
        <f>(I30-2508.57)*15%</f>
        <v>899.60486</v>
      </c>
      <c r="J32" s="19"/>
      <c r="K32" s="19">
        <f>(K30-2604.21)*15%</f>
        <v>696.88716</v>
      </c>
      <c r="L32" s="19"/>
      <c r="M32" s="19">
        <f>(M30-2127.25)*15%</f>
        <v>683.475</v>
      </c>
    </row>
    <row r="36">
      <c r="C36" s="20" t="s">
        <v>2</v>
      </c>
      <c r="D36" s="21">
        <f>B31</f>
        <v>53664.01873</v>
      </c>
      <c r="E36" s="22">
        <v>54095.06</v>
      </c>
    </row>
    <row r="37">
      <c r="C37" s="20" t="s">
        <v>3</v>
      </c>
      <c r="D37" s="21">
        <f>A32+C32+E32+G32+I32+K32+M32</f>
        <v>5492.09231</v>
      </c>
      <c r="E37" s="22">
        <v>5556.75</v>
      </c>
    </row>
  </sheetData>
  <mergeCells count="2">
    <mergeCell ref="A1:M1"/>
    <mergeCell ref="B31:M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117.0</v>
      </c>
      <c r="B2" s="5"/>
      <c r="C2" s="6">
        <v>217.0</v>
      </c>
      <c r="D2" s="7"/>
      <c r="E2" s="6">
        <v>218.0</v>
      </c>
      <c r="F2" s="23"/>
      <c r="G2" s="23"/>
      <c r="H2" s="24"/>
      <c r="I2" s="23"/>
      <c r="J2" s="24"/>
      <c r="K2" s="23"/>
      <c r="L2" s="9"/>
      <c r="M2" s="10"/>
      <c r="N2" s="9"/>
      <c r="O2" s="10"/>
    </row>
    <row r="3">
      <c r="A3" s="25">
        <f>(  445.74)/2*1</f>
        <v>222.87</v>
      </c>
      <c r="B3" s="26"/>
      <c r="C3" s="25">
        <v>151.3</v>
      </c>
      <c r="D3" s="9"/>
      <c r="E3" s="13">
        <v>142.31</v>
      </c>
      <c r="F3" s="9"/>
      <c r="G3" s="13"/>
      <c r="H3" s="9"/>
      <c r="I3" s="13"/>
      <c r="J3" s="9"/>
      <c r="K3" s="13"/>
      <c r="L3" s="9"/>
      <c r="M3" s="13"/>
      <c r="N3" s="9"/>
      <c r="O3" s="13"/>
    </row>
    <row r="4">
      <c r="A4" s="25">
        <f> 155.62-( 155.62*13%)</f>
        <v>135.3894</v>
      </c>
      <c r="B4" s="12"/>
      <c r="C4" s="25">
        <v>359.87</v>
      </c>
      <c r="D4" s="9"/>
      <c r="E4" s="13">
        <v>151.3</v>
      </c>
      <c r="F4" s="9"/>
      <c r="G4" s="13"/>
      <c r="H4" s="9"/>
      <c r="I4" s="13"/>
      <c r="J4" s="9"/>
      <c r="K4" s="13"/>
      <c r="L4" s="9"/>
      <c r="M4" s="13"/>
      <c r="N4" s="9"/>
      <c r="O4" s="13"/>
    </row>
    <row r="5">
      <c r="A5" s="25">
        <v>293.61</v>
      </c>
      <c r="B5" s="12"/>
      <c r="C5" s="25">
        <f>200-(200*13%)</f>
        <v>174</v>
      </c>
      <c r="D5" s="9"/>
      <c r="E5" s="13">
        <v>265.0</v>
      </c>
      <c r="F5" s="9"/>
      <c r="G5" s="13"/>
      <c r="H5" s="9"/>
      <c r="I5" s="13"/>
      <c r="J5" s="9"/>
      <c r="K5" s="13"/>
      <c r="L5" s="9"/>
      <c r="M5" s="13"/>
      <c r="N5" s="9"/>
      <c r="O5" s="13"/>
    </row>
    <row r="6">
      <c r="A6" s="25">
        <v>132.49</v>
      </c>
      <c r="B6" s="11"/>
      <c r="C6" s="25">
        <f>190.91-(190.91*13%)</f>
        <v>166.0917</v>
      </c>
      <c r="D6" s="9"/>
      <c r="E6" s="13">
        <v>179.93</v>
      </c>
      <c r="F6" s="9"/>
      <c r="G6" s="13"/>
      <c r="H6" s="9"/>
      <c r="I6" s="13"/>
      <c r="J6" s="9"/>
      <c r="K6" s="13"/>
      <c r="L6" s="9"/>
      <c r="M6" s="13"/>
      <c r="N6" s="9"/>
      <c r="O6" s="13"/>
    </row>
    <row r="7">
      <c r="A7" s="25">
        <v>597.05</v>
      </c>
      <c r="B7" s="11"/>
      <c r="C7" s="25">
        <f>200-(200*13%)</f>
        <v>174</v>
      </c>
      <c r="D7" s="9"/>
      <c r="E7" s="13">
        <v>491.54</v>
      </c>
      <c r="F7" s="9"/>
      <c r="G7" s="13"/>
      <c r="H7" s="9"/>
      <c r="I7" s="13"/>
      <c r="J7" s="9"/>
      <c r="K7" s="13"/>
      <c r="L7" s="9"/>
      <c r="M7" s="13"/>
      <c r="N7" s="9"/>
      <c r="O7" s="13"/>
    </row>
    <row r="8">
      <c r="A8" s="25">
        <v>142.31</v>
      </c>
      <c r="B8" s="9"/>
      <c r="C8" s="25">
        <v>293.61</v>
      </c>
      <c r="D8" s="9"/>
      <c r="E8" s="13">
        <f>213.9-(213.9*13%)</f>
        <v>186.093</v>
      </c>
      <c r="F8" s="9"/>
      <c r="G8" s="13"/>
      <c r="H8" s="9"/>
      <c r="I8" s="13"/>
      <c r="J8" s="9"/>
      <c r="K8" s="13"/>
      <c r="L8" s="9"/>
      <c r="M8" s="13"/>
      <c r="N8" s="9"/>
      <c r="O8" s="13"/>
    </row>
    <row r="9">
      <c r="A9" s="25">
        <f> 171.12-( 171.12*13%)</f>
        <v>148.8744</v>
      </c>
      <c r="B9" s="12"/>
      <c r="C9" s="25">
        <v>0.0</v>
      </c>
      <c r="D9" s="9"/>
      <c r="E9" s="13">
        <v>132.49</v>
      </c>
      <c r="F9" s="9"/>
      <c r="G9" s="13"/>
      <c r="H9" s="9"/>
      <c r="I9" s="13"/>
      <c r="J9" s="9"/>
      <c r="K9" s="13"/>
      <c r="L9" s="9"/>
      <c r="M9" s="13"/>
      <c r="N9" s="9"/>
      <c r="O9" s="13"/>
    </row>
    <row r="10">
      <c r="A10" s="25">
        <f> 186.73-( 186.73*13%)</f>
        <v>162.4551</v>
      </c>
      <c r="B10" s="12"/>
      <c r="C10" s="25">
        <v>0.0</v>
      </c>
      <c r="D10" s="9"/>
      <c r="E10" s="13">
        <v>767.98</v>
      </c>
      <c r="F10" s="9"/>
      <c r="G10" s="13"/>
      <c r="H10" s="9"/>
      <c r="I10" s="13"/>
      <c r="J10" s="9"/>
      <c r="K10" s="13"/>
      <c r="L10" s="9"/>
      <c r="M10" s="13"/>
      <c r="N10" s="9"/>
      <c r="O10" s="13"/>
    </row>
    <row r="11">
      <c r="A11" s="25">
        <f> 171.12-( 171.12*13%)</f>
        <v>148.8744</v>
      </c>
      <c r="B11" s="12"/>
      <c r="C11" s="25">
        <v>0.0</v>
      </c>
      <c r="D11" s="9"/>
      <c r="E11" s="13">
        <f> 186.73-( 186.73*13%)</f>
        <v>162.4551</v>
      </c>
      <c r="F11" s="9"/>
      <c r="G11" s="13"/>
      <c r="H11" s="9"/>
      <c r="I11" s="13"/>
      <c r="J11" s="9"/>
      <c r="K11" s="13"/>
      <c r="L11" s="9"/>
      <c r="M11" s="13"/>
      <c r="N11" s="9"/>
      <c r="O11" s="13"/>
    </row>
    <row r="12">
      <c r="A12" s="25">
        <v>157.03</v>
      </c>
      <c r="B12" s="12"/>
      <c r="C12" s="25">
        <v>0.0</v>
      </c>
      <c r="D12" s="9"/>
      <c r="E12" s="13">
        <v>151.3</v>
      </c>
      <c r="F12" s="9"/>
      <c r="G12" s="13"/>
      <c r="H12" s="9"/>
      <c r="I12" s="13"/>
      <c r="J12" s="9"/>
      <c r="K12" s="13"/>
      <c r="L12" s="9"/>
      <c r="M12" s="13"/>
      <c r="N12" s="9"/>
      <c r="O12" s="13"/>
    </row>
    <row r="13">
      <c r="A13" s="25">
        <v>189.74</v>
      </c>
      <c r="B13" s="10"/>
      <c r="C13" s="25">
        <v>0.0</v>
      </c>
      <c r="D13" s="9"/>
      <c r="E13" s="13">
        <v>233.09</v>
      </c>
      <c r="F13" s="9"/>
      <c r="G13" s="13"/>
      <c r="H13" s="9"/>
      <c r="I13" s="13"/>
      <c r="J13" s="9"/>
      <c r="K13" s="13"/>
      <c r="L13" s="9"/>
      <c r="M13" s="13"/>
      <c r="N13" s="9"/>
      <c r="O13" s="13"/>
    </row>
    <row r="14">
      <c r="A14" s="25">
        <v>259.27</v>
      </c>
      <c r="B14" s="12"/>
      <c r="C14" s="25">
        <v>0.0</v>
      </c>
      <c r="D14" s="9"/>
      <c r="E14" s="13">
        <v>350.05</v>
      </c>
      <c r="F14" s="9"/>
      <c r="G14" s="13"/>
      <c r="H14" s="9"/>
      <c r="I14" s="13"/>
      <c r="J14" s="9"/>
      <c r="K14" s="13"/>
      <c r="L14" s="9"/>
      <c r="M14" s="13"/>
      <c r="N14" s="9"/>
      <c r="O14" s="13"/>
    </row>
    <row r="15">
      <c r="A15" s="25">
        <v>1613.43</v>
      </c>
      <c r="B15" s="12"/>
      <c r="C15" s="25">
        <v>0.0</v>
      </c>
      <c r="D15" s="9"/>
      <c r="E15" s="13">
        <f>270.59-(270.59*13%)</f>
        <v>235.4133</v>
      </c>
      <c r="F15" s="9"/>
      <c r="G15" s="13"/>
      <c r="H15" s="9"/>
      <c r="I15" s="13"/>
      <c r="J15" s="9"/>
      <c r="K15" s="13"/>
      <c r="L15" s="9"/>
      <c r="M15" s="13"/>
      <c r="N15" s="9"/>
      <c r="O15" s="13"/>
    </row>
    <row r="16">
      <c r="A16" s="25">
        <v>170.11</v>
      </c>
      <c r="B16" s="12"/>
      <c r="C16" s="25">
        <v>0.0</v>
      </c>
      <c r="D16" s="9"/>
      <c r="E16" s="13">
        <v>189.74</v>
      </c>
      <c r="F16" s="9"/>
      <c r="G16" s="13"/>
      <c r="H16" s="9"/>
      <c r="I16" s="13"/>
      <c r="J16" s="9"/>
      <c r="K16" s="13"/>
      <c r="L16" s="9"/>
      <c r="M16" s="13"/>
      <c r="N16" s="9"/>
      <c r="O16" s="13"/>
    </row>
    <row r="17">
      <c r="A17" s="25">
        <v>161.12</v>
      </c>
      <c r="B17" s="12"/>
      <c r="C17" s="25">
        <v>0.0</v>
      </c>
      <c r="D17" s="9"/>
      <c r="E17" s="13">
        <v>179.93</v>
      </c>
      <c r="F17" s="9"/>
      <c r="G17" s="13"/>
      <c r="H17" s="9"/>
      <c r="I17" s="13"/>
      <c r="J17" s="9"/>
      <c r="K17" s="13"/>
      <c r="L17" s="9"/>
      <c r="M17" s="13"/>
      <c r="N17" s="9"/>
      <c r="O17" s="13"/>
    </row>
    <row r="18">
      <c r="A18" s="25">
        <f> 379.56-( 379.56*13%)</f>
        <v>330.2172</v>
      </c>
      <c r="B18" s="9"/>
      <c r="C18" s="25">
        <v>0.0</v>
      </c>
      <c r="D18" s="9"/>
      <c r="E18" s="13">
        <v>546.33</v>
      </c>
      <c r="F18" s="9"/>
      <c r="G18" s="13"/>
      <c r="H18" s="9"/>
      <c r="I18" s="13"/>
      <c r="J18" s="9"/>
      <c r="K18" s="13"/>
      <c r="L18" s="9"/>
      <c r="M18" s="13"/>
      <c r="N18" s="9"/>
      <c r="O18" s="13"/>
    </row>
    <row r="19">
      <c r="A19" s="25">
        <v>0.0</v>
      </c>
      <c r="B19" s="12"/>
      <c r="C19" s="25">
        <v>0.0</v>
      </c>
      <c r="D19" s="9"/>
      <c r="E19" s="13">
        <f> 342.24-( 342.24*13%)</f>
        <v>297.7488</v>
      </c>
      <c r="F19" s="9"/>
      <c r="G19" s="13"/>
      <c r="H19" s="9"/>
      <c r="I19" s="13"/>
      <c r="J19" s="9"/>
      <c r="K19" s="13"/>
      <c r="L19" s="9"/>
      <c r="M19" s="13"/>
      <c r="N19" s="9"/>
      <c r="O19" s="13"/>
    </row>
    <row r="20">
      <c r="A20" s="25">
        <v>0.0</v>
      </c>
      <c r="B20" s="12"/>
      <c r="C20" s="25">
        <v>0.0</v>
      </c>
      <c r="D20" s="10"/>
      <c r="E20" s="13">
        <v>0.0</v>
      </c>
      <c r="F20" s="9"/>
      <c r="G20" s="13"/>
      <c r="H20" s="9"/>
      <c r="I20" s="13"/>
      <c r="J20" s="9"/>
      <c r="K20" s="13"/>
      <c r="L20" s="9"/>
      <c r="M20" s="13"/>
      <c r="N20" s="9"/>
      <c r="O20" s="13"/>
    </row>
    <row r="21">
      <c r="A21" s="25">
        <v>0.0</v>
      </c>
      <c r="B21" s="12"/>
      <c r="C21" s="25">
        <v>0.0</v>
      </c>
      <c r="D21" s="9"/>
      <c r="E21" s="13">
        <v>0.0</v>
      </c>
      <c r="F21" s="9"/>
      <c r="G21" s="13"/>
      <c r="H21" s="9"/>
      <c r="I21" s="13"/>
      <c r="J21" s="9"/>
      <c r="K21" s="13"/>
      <c r="L21" s="9"/>
      <c r="M21" s="13"/>
      <c r="N21" s="9"/>
      <c r="O21" s="13"/>
    </row>
    <row r="22">
      <c r="A22" s="25">
        <v>0.0</v>
      </c>
      <c r="B22" s="9"/>
      <c r="C22" s="25">
        <v>0.0</v>
      </c>
      <c r="D22" s="9"/>
      <c r="E22" s="13">
        <v>0.0</v>
      </c>
      <c r="F22" s="9"/>
      <c r="G22" s="13"/>
      <c r="H22" s="9"/>
      <c r="I22" s="13"/>
      <c r="J22" s="9"/>
      <c r="K22" s="13"/>
      <c r="L22" s="9"/>
      <c r="M22" s="13"/>
      <c r="N22" s="9"/>
      <c r="O22" s="13"/>
    </row>
    <row r="23">
      <c r="A23" s="25">
        <v>0.0</v>
      </c>
      <c r="B23" s="9"/>
      <c r="C23" s="25">
        <v>0.0</v>
      </c>
      <c r="D23" s="9"/>
      <c r="E23" s="13">
        <v>0.0</v>
      </c>
      <c r="F23" s="9"/>
      <c r="G23" s="13"/>
      <c r="H23" s="10"/>
      <c r="I23" s="13"/>
      <c r="J23" s="9"/>
      <c r="K23" s="13"/>
      <c r="L23" s="9"/>
      <c r="M23" s="13"/>
      <c r="N23" s="9"/>
      <c r="O23" s="13"/>
    </row>
    <row r="24">
      <c r="A24" s="25">
        <v>0.0</v>
      </c>
      <c r="B24" s="9"/>
      <c r="C24" s="25">
        <v>0.0</v>
      </c>
      <c r="D24" s="9"/>
      <c r="E24" s="13">
        <v>0.0</v>
      </c>
      <c r="F24" s="9"/>
      <c r="G24" s="13"/>
      <c r="H24" s="9"/>
      <c r="I24" s="13"/>
      <c r="J24" s="9"/>
      <c r="K24" s="13"/>
      <c r="L24" s="9"/>
      <c r="M24" s="13"/>
      <c r="N24" s="9"/>
      <c r="O24" s="13"/>
    </row>
    <row r="25">
      <c r="A25" s="25">
        <v>0.0</v>
      </c>
      <c r="B25" s="9"/>
      <c r="C25" s="25">
        <v>0.0</v>
      </c>
      <c r="D25" s="9"/>
      <c r="E25" s="13">
        <v>0.0</v>
      </c>
      <c r="F25" s="9"/>
      <c r="G25" s="13"/>
      <c r="H25" s="9"/>
      <c r="I25" s="13"/>
      <c r="J25" s="9"/>
      <c r="K25" s="13"/>
      <c r="L25" s="9"/>
      <c r="M25" s="13"/>
      <c r="N25" s="9"/>
      <c r="O25" s="13"/>
    </row>
    <row r="26">
      <c r="A26" s="25">
        <v>0.0</v>
      </c>
      <c r="B26" s="9"/>
      <c r="C26" s="25">
        <v>0.0</v>
      </c>
      <c r="D26" s="9"/>
      <c r="E26" s="13">
        <v>0.0</v>
      </c>
      <c r="F26" s="9"/>
      <c r="G26" s="13"/>
      <c r="H26" s="9"/>
      <c r="I26" s="13"/>
      <c r="J26" s="9"/>
      <c r="K26" s="13"/>
      <c r="L26" s="9"/>
      <c r="M26" s="13"/>
      <c r="N26" s="9"/>
      <c r="O26" s="13"/>
    </row>
    <row r="27">
      <c r="A27" s="25">
        <v>0.0</v>
      </c>
      <c r="B27" s="9"/>
      <c r="C27" s="25">
        <v>0.0</v>
      </c>
      <c r="D27" s="9"/>
      <c r="E27" s="13">
        <v>0.0</v>
      </c>
      <c r="F27" s="9"/>
      <c r="G27" s="13"/>
      <c r="H27" s="9"/>
      <c r="I27" s="13"/>
      <c r="J27" s="9"/>
      <c r="K27" s="13"/>
      <c r="L27" s="9"/>
      <c r="M27" s="13"/>
      <c r="N27" s="9"/>
      <c r="O27" s="13"/>
    </row>
    <row r="28">
      <c r="A28" s="25">
        <v>0.0</v>
      </c>
      <c r="B28" s="9"/>
      <c r="C28" s="25">
        <v>0.0</v>
      </c>
      <c r="D28" s="9"/>
      <c r="E28" s="13">
        <v>0.0</v>
      </c>
      <c r="F28" s="9"/>
      <c r="G28" s="13"/>
      <c r="H28" s="9"/>
      <c r="I28" s="13"/>
      <c r="J28" s="9"/>
      <c r="K28" s="13"/>
      <c r="L28" s="9"/>
      <c r="M28" s="13"/>
      <c r="N28" s="9"/>
      <c r="O28" s="13"/>
    </row>
    <row r="29">
      <c r="A29" s="25">
        <v>0.0</v>
      </c>
      <c r="B29" s="9"/>
      <c r="C29" s="25">
        <v>0.0</v>
      </c>
      <c r="D29" s="9"/>
      <c r="E29" s="13">
        <v>0.0</v>
      </c>
      <c r="F29" s="9"/>
      <c r="G29" s="13"/>
      <c r="H29" s="9"/>
      <c r="I29" s="13"/>
      <c r="J29" s="9"/>
      <c r="K29" s="13"/>
      <c r="L29" s="9"/>
      <c r="M29" s="13"/>
      <c r="N29" s="9"/>
      <c r="O29" s="13"/>
    </row>
    <row r="30">
      <c r="A30" s="27">
        <f>SUM(A3:A29)</f>
        <v>4864.8405</v>
      </c>
      <c r="B30" s="27"/>
      <c r="C30" s="27">
        <f>SUM(C3:C29)</f>
        <v>1318.8717</v>
      </c>
      <c r="D30" s="27"/>
      <c r="E30" s="27">
        <f>SUM(E3:E29)</f>
        <v>4662.7002</v>
      </c>
      <c r="F30" s="16"/>
      <c r="G30" s="16"/>
      <c r="H30" s="9"/>
      <c r="I30" s="16"/>
      <c r="J30" s="9"/>
      <c r="K30" s="16"/>
      <c r="L30" s="9"/>
      <c r="M30" s="16"/>
      <c r="N30" s="9"/>
      <c r="O30" s="16"/>
    </row>
    <row r="31">
      <c r="A31" s="8" t="s">
        <v>1</v>
      </c>
      <c r="B31" s="18">
        <f>A30+C30+E30+G30+I30+K30</f>
        <v>10846.4124</v>
      </c>
    </row>
    <row r="32">
      <c r="A32" s="19">
        <f>(A30-2512.16)*15%</f>
        <v>352.902075</v>
      </c>
      <c r="B32" s="19"/>
      <c r="C32" s="19">
        <f>(C30-1354.72)*15%</f>
        <v>-5.377245</v>
      </c>
      <c r="E32" s="21">
        <f>(A30-2521.4)*15%</f>
        <v>351.516075</v>
      </c>
      <c r="G32" s="21"/>
      <c r="I32" s="21"/>
      <c r="K32" s="21"/>
    </row>
    <row r="36">
      <c r="C36" s="20" t="s">
        <v>2</v>
      </c>
      <c r="D36" s="21">
        <f>B31</f>
        <v>10846.4124</v>
      </c>
      <c r="E36" s="22">
        <v>10846.41</v>
      </c>
    </row>
    <row r="37">
      <c r="C37" s="20" t="s">
        <v>3</v>
      </c>
      <c r="D37" s="21">
        <f>A32+C32+E32+G32+I32+K32</f>
        <v>699.040905</v>
      </c>
      <c r="E37" s="22">
        <v>699.04</v>
      </c>
    </row>
    <row r="49">
      <c r="F49" s="20">
        <v>1.0</v>
      </c>
      <c r="G49" s="20">
        <v>4500.0</v>
      </c>
    </row>
    <row r="50">
      <c r="F50" s="20">
        <v>1.0</v>
      </c>
      <c r="G50" s="20">
        <v>4700.0</v>
      </c>
    </row>
    <row r="51">
      <c r="F51" s="20">
        <v>3.0</v>
      </c>
      <c r="G51" s="20">
        <v>7100.0</v>
      </c>
    </row>
    <row r="52">
      <c r="F52" s="20">
        <v>3.0</v>
      </c>
      <c r="G52" s="20">
        <v>7600.0</v>
      </c>
    </row>
  </sheetData>
  <mergeCells count="2">
    <mergeCell ref="A1:K1"/>
    <mergeCell ref="B31:K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611.0</v>
      </c>
      <c r="B2" s="5"/>
      <c r="C2" s="8"/>
      <c r="D2" s="7"/>
      <c r="E2" s="8"/>
      <c r="F2" s="7"/>
      <c r="G2" s="8"/>
      <c r="H2" s="17"/>
      <c r="I2" s="28"/>
      <c r="J2" s="17"/>
      <c r="K2" s="28"/>
      <c r="L2" s="9"/>
      <c r="M2" s="10"/>
      <c r="N2" s="9"/>
      <c r="O2" s="10"/>
    </row>
    <row r="3">
      <c r="A3" s="11">
        <f>165.6-(165.6*16%)</f>
        <v>139.104</v>
      </c>
      <c r="B3" s="12"/>
      <c r="C3" s="11"/>
      <c r="D3" s="9"/>
      <c r="E3" s="13"/>
      <c r="F3" s="9"/>
      <c r="G3" s="13"/>
      <c r="H3" s="9"/>
      <c r="I3" s="13"/>
      <c r="J3" s="9"/>
      <c r="K3" s="13"/>
      <c r="L3" s="9"/>
      <c r="M3" s="13"/>
      <c r="N3" s="9"/>
      <c r="O3" s="13"/>
    </row>
    <row r="4">
      <c r="A4" s="11">
        <v>187.4</v>
      </c>
      <c r="C4" s="11"/>
      <c r="D4" s="9"/>
      <c r="E4" s="13"/>
      <c r="F4" s="9"/>
      <c r="G4" s="13"/>
      <c r="H4" s="9"/>
      <c r="I4" s="13"/>
      <c r="J4" s="9"/>
      <c r="K4" s="13"/>
      <c r="L4" s="9"/>
      <c r="M4" s="13"/>
      <c r="N4" s="9"/>
      <c r="O4" s="13"/>
    </row>
    <row r="5">
      <c r="A5" s="11">
        <v>159.29</v>
      </c>
      <c r="B5" s="12"/>
      <c r="C5" s="11"/>
      <c r="D5" s="9"/>
      <c r="E5" s="13"/>
      <c r="F5" s="9"/>
      <c r="G5" s="13"/>
      <c r="H5" s="9"/>
      <c r="I5" s="13"/>
      <c r="J5" s="9"/>
      <c r="K5" s="13"/>
      <c r="L5" s="9"/>
      <c r="M5" s="13"/>
      <c r="N5" s="9"/>
      <c r="O5" s="13"/>
    </row>
    <row r="6">
      <c r="A6" s="11">
        <v>193.2</v>
      </c>
      <c r="B6" s="11"/>
      <c r="C6" s="11"/>
      <c r="D6" s="9"/>
      <c r="E6" s="13"/>
      <c r="F6" s="9"/>
      <c r="G6" s="13"/>
      <c r="H6" s="9"/>
      <c r="I6" s="13"/>
      <c r="J6" s="9"/>
      <c r="K6" s="13"/>
      <c r="L6" s="9"/>
      <c r="M6" s="13"/>
      <c r="N6" s="9"/>
      <c r="O6" s="13"/>
    </row>
    <row r="7">
      <c r="A7" s="11">
        <f>178.48-(178.48*16%)</f>
        <v>149.9232</v>
      </c>
      <c r="B7" s="11"/>
      <c r="C7" s="11"/>
      <c r="D7" s="9"/>
      <c r="E7" s="13"/>
      <c r="F7" s="9"/>
      <c r="G7" s="13"/>
      <c r="H7" s="9"/>
      <c r="I7" s="13"/>
      <c r="J7" s="9"/>
      <c r="K7" s="13"/>
      <c r="L7" s="9"/>
      <c r="M7" s="13"/>
      <c r="N7" s="9"/>
      <c r="O7" s="13"/>
    </row>
    <row r="8">
      <c r="A8" s="11">
        <v>164.22</v>
      </c>
      <c r="B8" s="9"/>
      <c r="C8" s="11"/>
      <c r="D8" s="9"/>
      <c r="E8" s="13"/>
      <c r="F8" s="9"/>
      <c r="G8" s="13"/>
      <c r="H8" s="9"/>
      <c r="I8" s="13"/>
      <c r="J8" s="9"/>
      <c r="K8" s="13"/>
      <c r="L8" s="9"/>
      <c r="M8" s="13"/>
      <c r="N8" s="9"/>
      <c r="O8" s="13"/>
    </row>
    <row r="9">
      <c r="A9" s="11">
        <v>521.64</v>
      </c>
      <c r="B9" s="12"/>
      <c r="C9" s="11"/>
      <c r="D9" s="9"/>
      <c r="E9" s="13"/>
      <c r="F9" s="9"/>
      <c r="G9" s="13"/>
      <c r="H9" s="9"/>
      <c r="I9" s="13"/>
      <c r="J9" s="9"/>
      <c r="K9" s="13"/>
      <c r="L9" s="9"/>
      <c r="M9" s="13"/>
      <c r="N9" s="9"/>
      <c r="O9" s="13"/>
    </row>
    <row r="10">
      <c r="A10" s="11">
        <v>402.91</v>
      </c>
      <c r="B10" s="12"/>
      <c r="C10" s="11"/>
      <c r="D10" s="9"/>
      <c r="E10" s="13"/>
      <c r="F10" s="9"/>
      <c r="G10" s="13"/>
      <c r="H10" s="9"/>
      <c r="I10" s="13"/>
      <c r="J10" s="9"/>
      <c r="K10" s="13"/>
      <c r="L10" s="9"/>
      <c r="M10" s="13"/>
      <c r="N10" s="9"/>
      <c r="O10" s="13"/>
    </row>
    <row r="11">
      <c r="A11" s="11">
        <v>173.88</v>
      </c>
      <c r="B11" s="12"/>
      <c r="C11" s="11"/>
      <c r="D11" s="9"/>
      <c r="E11" s="13"/>
      <c r="F11" s="9"/>
      <c r="G11" s="13"/>
      <c r="H11" s="9"/>
      <c r="I11" s="13"/>
      <c r="J11" s="9"/>
      <c r="K11" s="13"/>
      <c r="L11" s="9"/>
      <c r="M11" s="13"/>
      <c r="N11" s="9"/>
      <c r="O11" s="13"/>
    </row>
    <row r="12">
      <c r="A12" s="11">
        <f>519.38-(519.38*16%)</f>
        <v>436.2792</v>
      </c>
      <c r="B12" s="12"/>
      <c r="C12" s="11"/>
      <c r="D12" s="9"/>
      <c r="E12" s="13"/>
      <c r="F12" s="9"/>
      <c r="G12" s="13"/>
      <c r="H12" s="9"/>
      <c r="I12" s="13"/>
      <c r="J12" s="9"/>
      <c r="K12" s="13"/>
      <c r="L12" s="9"/>
      <c r="M12" s="13"/>
      <c r="N12" s="9"/>
      <c r="O12" s="13"/>
    </row>
    <row r="13">
      <c r="A13" s="11">
        <f>218.5-(218.5*16%)</f>
        <v>183.54</v>
      </c>
      <c r="B13" s="10"/>
      <c r="C13" s="11"/>
      <c r="D13" s="9"/>
      <c r="E13" s="13"/>
      <c r="F13" s="9"/>
      <c r="G13" s="13"/>
      <c r="H13" s="9"/>
      <c r="I13" s="13"/>
      <c r="J13" s="9"/>
      <c r="K13" s="13"/>
      <c r="L13" s="9"/>
      <c r="M13" s="13"/>
      <c r="N13" s="9"/>
      <c r="O13" s="13"/>
    </row>
    <row r="14">
      <c r="A14" s="11">
        <f>785.51-(785.51*16%)</f>
        <v>659.8284</v>
      </c>
      <c r="B14" s="12"/>
      <c r="C14" s="11"/>
      <c r="D14" s="9"/>
      <c r="E14" s="13"/>
      <c r="F14" s="9"/>
      <c r="G14" s="13"/>
      <c r="H14" s="9"/>
      <c r="I14" s="13"/>
      <c r="J14" s="9"/>
      <c r="K14" s="13"/>
      <c r="L14" s="9"/>
      <c r="M14" s="13"/>
      <c r="N14" s="9"/>
      <c r="O14" s="13"/>
    </row>
    <row r="15">
      <c r="A15" s="11">
        <f> 245.41-( 245.41*16%)</f>
        <v>206.1444</v>
      </c>
      <c r="B15" s="12"/>
      <c r="C15" s="11"/>
      <c r="D15" s="9"/>
      <c r="E15" s="13"/>
      <c r="F15" s="9"/>
      <c r="G15" s="13"/>
      <c r="H15" s="9"/>
      <c r="I15" s="13"/>
      <c r="J15" s="9"/>
      <c r="K15" s="13"/>
      <c r="L15" s="9"/>
      <c r="M15" s="13"/>
      <c r="N15" s="9"/>
      <c r="O15" s="13"/>
    </row>
    <row r="16">
      <c r="A16" s="11">
        <f>390.43-(390.43*16%)</f>
        <v>327.9612</v>
      </c>
      <c r="B16" s="12"/>
      <c r="C16" s="11"/>
      <c r="D16" s="9"/>
      <c r="E16" s="13"/>
      <c r="F16" s="9"/>
      <c r="G16" s="13"/>
      <c r="H16" s="9"/>
      <c r="I16" s="13"/>
      <c r="J16" s="9"/>
      <c r="K16" s="13"/>
      <c r="L16" s="9"/>
      <c r="M16" s="13"/>
      <c r="N16" s="9"/>
      <c r="O16" s="13"/>
    </row>
    <row r="17">
      <c r="A17" s="11">
        <v>0.0</v>
      </c>
      <c r="B17" s="12"/>
      <c r="C17" s="11"/>
      <c r="D17" s="9"/>
      <c r="E17" s="13"/>
      <c r="F17" s="9"/>
      <c r="G17" s="13"/>
      <c r="H17" s="9"/>
      <c r="I17" s="13"/>
      <c r="J17" s="9"/>
      <c r="K17" s="13"/>
      <c r="L17" s="9"/>
      <c r="M17" s="13"/>
      <c r="N17" s="9"/>
      <c r="O17" s="13"/>
    </row>
    <row r="18">
      <c r="A18" s="11">
        <v>0.0</v>
      </c>
      <c r="B18" s="9"/>
      <c r="C18" s="11"/>
      <c r="D18" s="9"/>
      <c r="E18" s="13"/>
      <c r="F18" s="9"/>
      <c r="G18" s="13"/>
      <c r="H18" s="9"/>
      <c r="I18" s="13"/>
      <c r="J18" s="9"/>
      <c r="K18" s="13"/>
      <c r="L18" s="9"/>
      <c r="M18" s="13"/>
      <c r="N18" s="9"/>
      <c r="O18" s="13"/>
    </row>
    <row r="19">
      <c r="A19" s="11">
        <v>0.0</v>
      </c>
      <c r="B19" s="12"/>
      <c r="C19" s="11"/>
      <c r="D19" s="9"/>
      <c r="E19" s="13"/>
      <c r="F19" s="9"/>
      <c r="G19" s="13"/>
      <c r="H19" s="9"/>
      <c r="I19" s="13"/>
      <c r="J19" s="9"/>
      <c r="K19" s="13"/>
      <c r="L19" s="9"/>
      <c r="M19" s="13"/>
      <c r="N19" s="9"/>
      <c r="O19" s="13"/>
    </row>
    <row r="20">
      <c r="A20" s="11">
        <v>0.0</v>
      </c>
      <c r="B20" s="12"/>
      <c r="C20" s="11"/>
      <c r="D20" s="10"/>
      <c r="E20" s="13"/>
      <c r="F20" s="9"/>
      <c r="G20" s="13"/>
      <c r="H20" s="9"/>
      <c r="I20" s="13"/>
      <c r="J20" s="9"/>
      <c r="K20" s="13"/>
      <c r="L20" s="9"/>
      <c r="M20" s="13"/>
      <c r="N20" s="9"/>
      <c r="O20" s="13"/>
    </row>
    <row r="21">
      <c r="A21" s="11">
        <v>0.0</v>
      </c>
      <c r="B21" s="12"/>
      <c r="C21" s="11"/>
      <c r="D21" s="9"/>
      <c r="E21" s="13"/>
      <c r="F21" s="9"/>
      <c r="G21" s="13"/>
      <c r="H21" s="9"/>
      <c r="I21" s="13"/>
      <c r="J21" s="9"/>
      <c r="K21" s="13"/>
      <c r="L21" s="9"/>
      <c r="M21" s="13"/>
      <c r="N21" s="9"/>
      <c r="O21" s="13"/>
    </row>
    <row r="22">
      <c r="A22" s="11">
        <v>0.0</v>
      </c>
      <c r="B22" s="9"/>
      <c r="C22" s="11"/>
      <c r="D22" s="9"/>
      <c r="E22" s="13"/>
      <c r="F22" s="9"/>
      <c r="G22" s="13"/>
      <c r="H22" s="9"/>
      <c r="I22" s="13"/>
      <c r="J22" s="9"/>
      <c r="K22" s="13"/>
      <c r="L22" s="9"/>
      <c r="M22" s="13"/>
      <c r="N22" s="9"/>
      <c r="O22" s="13"/>
    </row>
    <row r="23">
      <c r="A23" s="11">
        <v>0.0</v>
      </c>
      <c r="B23" s="9"/>
      <c r="C23" s="11"/>
      <c r="D23" s="9"/>
      <c r="E23" s="13"/>
      <c r="F23" s="9"/>
      <c r="G23" s="13"/>
      <c r="H23" s="9"/>
      <c r="I23" s="13"/>
      <c r="J23" s="9"/>
      <c r="K23" s="13"/>
      <c r="L23" s="9"/>
      <c r="M23" s="13"/>
      <c r="N23" s="9"/>
      <c r="O23" s="13"/>
    </row>
    <row r="24">
      <c r="A24" s="11">
        <v>0.0</v>
      </c>
      <c r="B24" s="9"/>
      <c r="C24" s="11"/>
      <c r="D24" s="9"/>
      <c r="E24" s="13"/>
      <c r="F24" s="9"/>
      <c r="G24" s="13"/>
      <c r="H24" s="9"/>
      <c r="I24" s="13"/>
      <c r="J24" s="9"/>
      <c r="K24" s="13"/>
      <c r="L24" s="9"/>
      <c r="M24" s="13"/>
      <c r="N24" s="9"/>
      <c r="O24" s="13"/>
    </row>
    <row r="25">
      <c r="A25" s="11">
        <v>0.0</v>
      </c>
      <c r="B25" s="9"/>
      <c r="C25" s="11"/>
      <c r="D25" s="9"/>
      <c r="E25" s="13"/>
      <c r="F25" s="9"/>
      <c r="G25" s="13"/>
      <c r="H25" s="9"/>
      <c r="I25" s="13"/>
      <c r="J25" s="9"/>
      <c r="K25" s="13"/>
      <c r="L25" s="9"/>
      <c r="M25" s="13"/>
      <c r="N25" s="9"/>
      <c r="O25" s="13"/>
    </row>
    <row r="26">
      <c r="A26" s="11">
        <v>0.0</v>
      </c>
      <c r="B26" s="9"/>
      <c r="C26" s="11"/>
      <c r="D26" s="9"/>
      <c r="E26" s="13"/>
      <c r="F26" s="9"/>
      <c r="G26" s="13"/>
      <c r="H26" s="9"/>
      <c r="I26" s="13"/>
      <c r="J26" s="9"/>
      <c r="K26" s="13"/>
      <c r="L26" s="9"/>
      <c r="M26" s="13"/>
      <c r="N26" s="9"/>
      <c r="O26" s="13"/>
    </row>
    <row r="27">
      <c r="A27" s="11">
        <v>0.0</v>
      </c>
      <c r="B27" s="9"/>
      <c r="C27" s="11"/>
      <c r="D27" s="9"/>
      <c r="E27" s="13"/>
      <c r="F27" s="9"/>
      <c r="G27" s="13"/>
      <c r="H27" s="9"/>
      <c r="I27" s="13"/>
      <c r="J27" s="9"/>
      <c r="K27" s="13"/>
      <c r="L27" s="9"/>
      <c r="M27" s="13"/>
      <c r="N27" s="9"/>
      <c r="O27" s="13"/>
    </row>
    <row r="28">
      <c r="A28" s="11">
        <v>0.0</v>
      </c>
      <c r="B28" s="9"/>
      <c r="C28" s="11"/>
      <c r="D28" s="9"/>
      <c r="E28" s="13"/>
      <c r="F28" s="9"/>
      <c r="G28" s="13"/>
      <c r="H28" s="9"/>
      <c r="I28" s="13"/>
      <c r="J28" s="9"/>
      <c r="K28" s="13"/>
      <c r="L28" s="9"/>
      <c r="M28" s="13"/>
      <c r="N28" s="9"/>
      <c r="O28" s="13"/>
    </row>
    <row r="29">
      <c r="A29" s="11">
        <v>0.0</v>
      </c>
      <c r="B29" s="9"/>
      <c r="C29" s="11"/>
      <c r="D29" s="9"/>
      <c r="E29" s="13"/>
      <c r="F29" s="9"/>
      <c r="G29" s="13"/>
      <c r="H29" s="9"/>
      <c r="I29" s="13"/>
      <c r="J29" s="9"/>
      <c r="K29" s="13"/>
      <c r="L29" s="9"/>
      <c r="M29" s="13"/>
      <c r="N29" s="9"/>
      <c r="O29" s="13"/>
    </row>
    <row r="30">
      <c r="A30" s="29">
        <f>SUM(A3:A29)</f>
        <v>3905.3204</v>
      </c>
      <c r="B30" s="9"/>
      <c r="C30" s="16"/>
      <c r="D30" s="17"/>
      <c r="E30" s="16"/>
      <c r="F30" s="16"/>
      <c r="G30" s="16"/>
      <c r="H30" s="9"/>
      <c r="I30" s="16"/>
      <c r="J30" s="9"/>
      <c r="K30" s="16"/>
      <c r="L30" s="9"/>
      <c r="M30" s="16"/>
      <c r="N30" s="9"/>
      <c r="O30" s="16"/>
    </row>
    <row r="31">
      <c r="A31" s="8" t="s">
        <v>4</v>
      </c>
      <c r="B31" s="18">
        <f>A30+C30+E30+G30+I30+K30</f>
        <v>3905.3204</v>
      </c>
    </row>
    <row r="32">
      <c r="A32" s="19">
        <f>(A30-2338.62)*17%</f>
        <v>266.339068</v>
      </c>
      <c r="B32" s="30"/>
      <c r="C32" s="30"/>
    </row>
    <row r="33">
      <c r="C33" s="20" t="s">
        <v>2</v>
      </c>
      <c r="D33" s="21">
        <f>B31</f>
        <v>3905.3204</v>
      </c>
      <c r="E33" s="20">
        <v>3905.32</v>
      </c>
    </row>
    <row r="34">
      <c r="C34" s="20" t="s">
        <v>3</v>
      </c>
      <c r="D34" s="21">
        <f>A32+C32+E32+G32+I32+K32</f>
        <v>266.339068</v>
      </c>
      <c r="E34" s="22">
        <v>266.34</v>
      </c>
    </row>
    <row r="35">
      <c r="E35" s="22"/>
    </row>
  </sheetData>
  <mergeCells count="2">
    <mergeCell ref="A1:K1"/>
    <mergeCell ref="B31:O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910.0</v>
      </c>
      <c r="B2" s="5"/>
      <c r="C2" s="8"/>
      <c r="D2" s="7"/>
      <c r="E2" s="8"/>
      <c r="F2" s="7"/>
      <c r="G2" s="8"/>
      <c r="H2" s="17"/>
      <c r="I2" s="28"/>
      <c r="J2" s="17"/>
      <c r="K2" s="28"/>
      <c r="M2" s="10"/>
      <c r="O2" s="10"/>
    </row>
    <row r="3">
      <c r="A3" s="11">
        <f>(  493.18)/2*1</f>
        <v>246.59</v>
      </c>
      <c r="B3" s="12"/>
      <c r="C3" s="11"/>
      <c r="D3" s="9"/>
      <c r="E3" s="13"/>
      <c r="F3" s="9"/>
      <c r="G3" s="13"/>
      <c r="H3" s="9"/>
      <c r="I3" s="13"/>
      <c r="J3" s="9"/>
      <c r="K3" s="13"/>
      <c r="M3" s="22"/>
      <c r="O3" s="22"/>
    </row>
    <row r="4">
      <c r="A4" s="11">
        <f>776-(776*13%)</f>
        <v>675.12</v>
      </c>
      <c r="B4" s="12"/>
      <c r="C4" s="11"/>
      <c r="D4" s="9"/>
      <c r="E4" s="13"/>
      <c r="F4" s="9"/>
      <c r="G4" s="13"/>
      <c r="H4" s="9"/>
      <c r="I4" s="13"/>
      <c r="J4" s="9"/>
      <c r="K4" s="13"/>
      <c r="M4" s="22"/>
      <c r="O4" s="22"/>
    </row>
    <row r="5">
      <c r="A5" s="11">
        <v>132.49</v>
      </c>
      <c r="B5" s="12"/>
      <c r="C5" s="11"/>
      <c r="D5" s="9"/>
      <c r="E5" s="13"/>
      <c r="F5" s="9"/>
      <c r="G5" s="13"/>
      <c r="H5" s="9"/>
      <c r="I5" s="13"/>
      <c r="J5" s="9"/>
      <c r="K5" s="13"/>
      <c r="M5" s="22"/>
      <c r="O5" s="22"/>
    </row>
    <row r="6">
      <c r="A6" s="25">
        <f> 167.58-( 167.58*13%)</f>
        <v>145.7946</v>
      </c>
      <c r="B6" s="11"/>
      <c r="C6" s="11"/>
      <c r="D6" s="9"/>
      <c r="E6" s="13"/>
      <c r="F6" s="9"/>
      <c r="G6" s="13"/>
      <c r="H6" s="9"/>
      <c r="I6" s="13"/>
      <c r="J6" s="9"/>
      <c r="K6" s="13"/>
      <c r="M6" s="22"/>
      <c r="O6" s="22"/>
    </row>
    <row r="7">
      <c r="A7" s="11">
        <f>156.17-(156.17*13%)</f>
        <v>135.8679</v>
      </c>
      <c r="B7" s="11"/>
      <c r="C7" s="11"/>
      <c r="D7" s="9"/>
      <c r="E7" s="13"/>
      <c r="F7" s="9"/>
      <c r="G7" s="13"/>
      <c r="H7" s="9"/>
      <c r="I7" s="13"/>
      <c r="J7" s="9"/>
      <c r="K7" s="13"/>
      <c r="M7" s="22"/>
      <c r="O7" s="22"/>
    </row>
    <row r="8">
      <c r="A8" s="11">
        <v>151.3</v>
      </c>
      <c r="B8" s="9"/>
      <c r="C8" s="11"/>
      <c r="D8" s="9"/>
      <c r="E8" s="13"/>
      <c r="F8" s="9"/>
      <c r="G8" s="13"/>
      <c r="H8" s="9"/>
      <c r="I8" s="13"/>
      <c r="J8" s="9"/>
      <c r="K8" s="13"/>
      <c r="M8" s="22"/>
      <c r="O8" s="22"/>
    </row>
    <row r="9">
      <c r="A9" s="11">
        <f>577.15-(577.15*13%)</f>
        <v>502.1205</v>
      </c>
      <c r="B9" s="12"/>
      <c r="C9" s="11"/>
      <c r="D9" s="9"/>
      <c r="E9" s="13"/>
      <c r="F9" s="9"/>
      <c r="G9" s="13"/>
      <c r="H9" s="9"/>
      <c r="I9" s="13"/>
      <c r="J9" s="9"/>
      <c r="K9" s="13"/>
      <c r="M9" s="22"/>
      <c r="O9" s="22"/>
    </row>
    <row r="10">
      <c r="A10" s="11">
        <f> 209.19-( 209.19*13%)</f>
        <v>181.9953</v>
      </c>
      <c r="B10" s="12"/>
      <c r="C10" s="11"/>
      <c r="D10" s="9"/>
      <c r="E10" s="13"/>
      <c r="F10" s="9"/>
      <c r="G10" s="13"/>
      <c r="H10" s="9"/>
      <c r="I10" s="13"/>
      <c r="J10" s="9"/>
      <c r="K10" s="13"/>
      <c r="M10" s="22"/>
      <c r="O10" s="22"/>
    </row>
    <row r="11">
      <c r="A11" s="11">
        <f> 184.3-( 184.3*13%)</f>
        <v>160.341</v>
      </c>
      <c r="B11" s="12"/>
      <c r="C11" s="11"/>
      <c r="D11" s="9"/>
      <c r="E11" s="13"/>
      <c r="F11" s="9"/>
      <c r="G11" s="13"/>
      <c r="H11" s="9"/>
      <c r="I11" s="13"/>
      <c r="J11" s="9"/>
      <c r="K11" s="13"/>
      <c r="M11" s="22"/>
      <c r="O11" s="22"/>
    </row>
    <row r="12">
      <c r="A12" s="11">
        <f>509.42-(509.42*13%)</f>
        <v>443.1954</v>
      </c>
      <c r="B12" s="12"/>
      <c r="C12" s="11"/>
      <c r="D12" s="9"/>
      <c r="E12" s="13"/>
      <c r="F12" s="9"/>
      <c r="G12" s="13"/>
      <c r="H12" s="9"/>
      <c r="I12" s="13"/>
      <c r="J12" s="9"/>
      <c r="K12" s="13"/>
      <c r="M12" s="22"/>
      <c r="O12" s="22"/>
    </row>
    <row r="13">
      <c r="A13" s="11">
        <v>758.98</v>
      </c>
      <c r="B13" s="10"/>
      <c r="C13" s="11"/>
      <c r="D13" s="9"/>
      <c r="E13" s="13"/>
      <c r="F13" s="9"/>
      <c r="G13" s="13"/>
      <c r="H13" s="9"/>
      <c r="I13" s="13"/>
      <c r="J13" s="9"/>
      <c r="K13" s="13"/>
      <c r="M13" s="22"/>
      <c r="O13" s="22"/>
    </row>
    <row r="14">
      <c r="A14" s="11">
        <v>246.18</v>
      </c>
      <c r="B14" s="10"/>
      <c r="C14" s="11"/>
      <c r="D14" s="9"/>
      <c r="E14" s="13"/>
      <c r="F14" s="9"/>
      <c r="G14" s="13"/>
      <c r="H14" s="9"/>
      <c r="I14" s="13"/>
      <c r="J14" s="9"/>
      <c r="K14" s="13"/>
      <c r="M14" s="22"/>
      <c r="O14" s="22"/>
    </row>
    <row r="15">
      <c r="A15" s="11">
        <v>161.12</v>
      </c>
      <c r="B15" s="12"/>
      <c r="C15" s="11"/>
      <c r="D15" s="9"/>
      <c r="E15" s="13"/>
      <c r="F15" s="9"/>
      <c r="G15" s="13"/>
      <c r="H15" s="9"/>
      <c r="I15" s="13"/>
      <c r="J15" s="9"/>
      <c r="K15" s="13"/>
      <c r="M15" s="22"/>
      <c r="O15" s="22"/>
    </row>
    <row r="16">
      <c r="A16" s="11">
        <f>184-(184*13%)</f>
        <v>160.08</v>
      </c>
      <c r="B16" s="12"/>
      <c r="C16" s="11"/>
      <c r="D16" s="9"/>
      <c r="E16" s="13"/>
      <c r="F16" s="9"/>
      <c r="G16" s="13"/>
      <c r="H16" s="9"/>
      <c r="I16" s="13"/>
      <c r="J16" s="9"/>
      <c r="K16" s="13"/>
      <c r="M16" s="22"/>
      <c r="O16" s="22"/>
    </row>
    <row r="17">
      <c r="A17" s="11">
        <v>174.54</v>
      </c>
      <c r="B17" s="12"/>
      <c r="C17" s="11"/>
      <c r="D17" s="9"/>
      <c r="E17" s="13"/>
      <c r="F17" s="9"/>
      <c r="G17" s="13"/>
      <c r="H17" s="9"/>
      <c r="I17" s="13"/>
      <c r="J17" s="9"/>
      <c r="K17" s="13"/>
      <c r="M17" s="22"/>
      <c r="O17" s="22"/>
    </row>
    <row r="18">
      <c r="A18" s="11">
        <f> 213.4-( 213.4*13%)</f>
        <v>185.658</v>
      </c>
      <c r="B18" s="9"/>
      <c r="C18" s="11"/>
      <c r="D18" s="9"/>
      <c r="E18" s="13"/>
      <c r="F18" s="9"/>
      <c r="G18" s="13"/>
      <c r="H18" s="9"/>
      <c r="I18" s="13"/>
      <c r="J18" s="9"/>
      <c r="K18" s="13"/>
      <c r="M18" s="22"/>
      <c r="O18" s="22"/>
    </row>
    <row r="19">
      <c r="A19" s="11">
        <v>151.9</v>
      </c>
      <c r="B19" s="12"/>
      <c r="C19" s="11"/>
      <c r="D19" s="9"/>
      <c r="E19" s="13"/>
      <c r="F19" s="9"/>
      <c r="G19" s="13"/>
      <c r="H19" s="9"/>
      <c r="I19" s="13"/>
      <c r="J19" s="9"/>
      <c r="K19" s="13"/>
      <c r="M19" s="22"/>
      <c r="O19" s="22"/>
    </row>
    <row r="20">
      <c r="A20" s="11">
        <v>405.07</v>
      </c>
      <c r="B20" s="12"/>
      <c r="C20" s="11"/>
      <c r="D20" s="9"/>
      <c r="E20" s="13"/>
      <c r="F20" s="9"/>
      <c r="G20" s="13"/>
      <c r="H20" s="9"/>
      <c r="I20" s="13"/>
      <c r="J20" s="9"/>
      <c r="K20" s="13"/>
      <c r="M20" s="22"/>
      <c r="O20" s="22"/>
    </row>
    <row r="21">
      <c r="A21" s="11">
        <v>279.33</v>
      </c>
      <c r="B21" s="12"/>
      <c r="C21" s="11"/>
      <c r="D21" s="9"/>
      <c r="E21" s="13"/>
      <c r="F21" s="9"/>
      <c r="G21" s="13"/>
      <c r="H21" s="9"/>
      <c r="I21" s="13"/>
      <c r="J21" s="9"/>
      <c r="K21" s="13"/>
      <c r="M21" s="22"/>
      <c r="O21" s="22"/>
    </row>
    <row r="22">
      <c r="A22" s="11">
        <v>179.93</v>
      </c>
      <c r="B22" s="9"/>
      <c r="C22" s="11"/>
      <c r="D22" s="9"/>
      <c r="E22" s="13"/>
      <c r="F22" s="9"/>
      <c r="G22" s="13"/>
      <c r="H22" s="9"/>
      <c r="I22" s="13"/>
      <c r="J22" s="9"/>
      <c r="K22" s="13"/>
      <c r="M22" s="22"/>
      <c r="O22" s="22"/>
    </row>
    <row r="23">
      <c r="A23" s="11">
        <f>700-(700*10%)</f>
        <v>630</v>
      </c>
      <c r="B23" s="9"/>
      <c r="C23" s="11"/>
      <c r="D23" s="9"/>
      <c r="E23" s="13"/>
      <c r="F23" s="9"/>
      <c r="G23" s="13"/>
      <c r="H23" s="9"/>
      <c r="I23" s="13"/>
      <c r="J23" s="9"/>
      <c r="K23" s="13"/>
      <c r="M23" s="22"/>
      <c r="O23" s="22"/>
    </row>
    <row r="24">
      <c r="A24" s="11">
        <v>0.0</v>
      </c>
      <c r="B24" s="9"/>
      <c r="C24" s="11"/>
      <c r="D24" s="9"/>
      <c r="E24" s="13"/>
      <c r="F24" s="9"/>
      <c r="G24" s="13"/>
      <c r="H24" s="9"/>
      <c r="I24" s="13"/>
      <c r="J24" s="9"/>
      <c r="K24" s="13"/>
      <c r="M24" s="22"/>
      <c r="O24" s="22"/>
    </row>
    <row r="25">
      <c r="A25" s="11">
        <v>0.0</v>
      </c>
      <c r="B25" s="9"/>
      <c r="C25" s="11"/>
      <c r="D25" s="9"/>
      <c r="E25" s="13"/>
      <c r="F25" s="9"/>
      <c r="G25" s="13"/>
      <c r="H25" s="9"/>
      <c r="I25" s="13"/>
      <c r="J25" s="9"/>
      <c r="K25" s="13"/>
      <c r="M25" s="22"/>
      <c r="O25" s="22"/>
    </row>
    <row r="26">
      <c r="A26" s="11">
        <v>0.0</v>
      </c>
      <c r="B26" s="9"/>
      <c r="C26" s="11"/>
      <c r="D26" s="9"/>
      <c r="E26" s="13"/>
      <c r="F26" s="9"/>
      <c r="G26" s="13"/>
      <c r="H26" s="9"/>
      <c r="I26" s="13"/>
      <c r="J26" s="9"/>
      <c r="K26" s="13"/>
      <c r="M26" s="22"/>
      <c r="O26" s="22"/>
    </row>
    <row r="27">
      <c r="A27" s="11">
        <v>0.0</v>
      </c>
      <c r="B27" s="9"/>
      <c r="C27" s="11"/>
      <c r="D27" s="9"/>
      <c r="E27" s="13"/>
      <c r="F27" s="9"/>
      <c r="G27" s="13"/>
      <c r="H27" s="9"/>
      <c r="I27" s="13"/>
      <c r="J27" s="9"/>
      <c r="K27" s="13"/>
      <c r="M27" s="22"/>
      <c r="O27" s="22"/>
    </row>
    <row r="28">
      <c r="A28" s="11">
        <v>0.0</v>
      </c>
      <c r="B28" s="9"/>
      <c r="C28" s="11"/>
      <c r="D28" s="9"/>
      <c r="E28" s="13"/>
      <c r="F28" s="9"/>
      <c r="G28" s="13"/>
      <c r="H28" s="9"/>
      <c r="I28" s="13"/>
      <c r="J28" s="9"/>
      <c r="K28" s="13"/>
      <c r="M28" s="22"/>
      <c r="O28" s="22"/>
    </row>
    <row r="29">
      <c r="A29" s="11">
        <v>0.0</v>
      </c>
      <c r="B29" s="9"/>
      <c r="C29" s="11"/>
      <c r="D29" s="9"/>
      <c r="E29" s="13"/>
      <c r="F29" s="9"/>
      <c r="G29" s="13"/>
      <c r="H29" s="9"/>
      <c r="I29" s="13"/>
      <c r="J29" s="9"/>
      <c r="K29" s="13"/>
      <c r="M29" s="22"/>
      <c r="O29" s="22"/>
    </row>
    <row r="30">
      <c r="A30" s="16">
        <f>SUM(A3:A29)</f>
        <v>6107.6027</v>
      </c>
      <c r="B30" s="9"/>
      <c r="C30" s="16"/>
      <c r="D30" s="17"/>
      <c r="E30" s="16"/>
      <c r="F30" s="16"/>
      <c r="G30" s="16"/>
      <c r="H30" s="9"/>
      <c r="I30" s="16"/>
      <c r="J30" s="9"/>
      <c r="K30" s="16"/>
      <c r="M30" s="31"/>
      <c r="O30" s="31"/>
    </row>
    <row r="31">
      <c r="A31" s="8" t="s">
        <v>4</v>
      </c>
      <c r="B31" s="18">
        <f>A30+C30+E30+G30+I30+K30</f>
        <v>6107.6027</v>
      </c>
    </row>
    <row r="32">
      <c r="A32" s="19">
        <f>(A30-2319.57)*17%</f>
        <v>643.965559</v>
      </c>
      <c r="B32" s="30"/>
      <c r="C32" s="30"/>
    </row>
    <row r="35">
      <c r="D35" s="20" t="s">
        <v>2</v>
      </c>
      <c r="E35" s="21">
        <f>B31</f>
        <v>6107.6027</v>
      </c>
      <c r="F35" s="22">
        <v>6253.41</v>
      </c>
    </row>
    <row r="36">
      <c r="D36" s="20" t="s">
        <v>3</v>
      </c>
      <c r="E36" s="21">
        <f>A32+C32+E32+G32+I32+K32</f>
        <v>643.965559</v>
      </c>
      <c r="F36" s="22">
        <v>668.75</v>
      </c>
    </row>
  </sheetData>
  <mergeCells count="2">
    <mergeCell ref="A1:K1"/>
    <mergeCell ref="B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718.0</v>
      </c>
      <c r="B2" s="5"/>
      <c r="C2" s="8"/>
      <c r="D2" s="7"/>
      <c r="E2" s="8"/>
      <c r="F2" s="7"/>
      <c r="G2" s="8"/>
      <c r="H2" s="17"/>
      <c r="I2" s="28"/>
      <c r="J2" s="17"/>
      <c r="K2" s="28"/>
      <c r="M2" s="10"/>
      <c r="O2" s="10"/>
    </row>
    <row r="3">
      <c r="A3" s="32">
        <f>(  523.1)/2*1</f>
        <v>261.55</v>
      </c>
      <c r="B3" s="32"/>
      <c r="C3" s="11"/>
      <c r="D3" s="9"/>
      <c r="E3" s="13"/>
      <c r="F3" s="9"/>
      <c r="G3" s="13"/>
      <c r="H3" s="9"/>
      <c r="I3" s="13"/>
      <c r="J3" s="9"/>
      <c r="K3" s="13"/>
      <c r="M3" s="22"/>
      <c r="O3" s="22"/>
    </row>
    <row r="4">
      <c r="A4" s="32">
        <f>159.52-(159.52*13%)</f>
        <v>138.7824</v>
      </c>
      <c r="B4" s="32"/>
      <c r="C4" s="11"/>
      <c r="D4" s="9"/>
      <c r="E4" s="13"/>
      <c r="F4" s="9"/>
      <c r="G4" s="13"/>
      <c r="H4" s="9"/>
      <c r="I4" s="13"/>
      <c r="J4" s="9"/>
      <c r="K4" s="13"/>
      <c r="M4" s="22"/>
      <c r="O4" s="22"/>
    </row>
    <row r="5">
      <c r="A5" s="32">
        <v>151.3</v>
      </c>
      <c r="B5" s="32"/>
      <c r="C5" s="11"/>
      <c r="D5" s="9"/>
      <c r="E5" s="13"/>
      <c r="F5" s="9"/>
      <c r="G5" s="13"/>
      <c r="H5" s="9"/>
      <c r="I5" s="13"/>
      <c r="J5" s="9"/>
      <c r="K5" s="13"/>
      <c r="M5" s="22"/>
      <c r="O5" s="22"/>
    </row>
    <row r="6">
      <c r="A6" s="32">
        <v>161.12</v>
      </c>
      <c r="B6" s="32"/>
      <c r="C6" s="11"/>
      <c r="D6" s="9"/>
      <c r="E6" s="13"/>
      <c r="F6" s="9"/>
      <c r="G6" s="13"/>
      <c r="H6" s="9"/>
      <c r="I6" s="13"/>
      <c r="J6" s="9"/>
      <c r="K6" s="13"/>
      <c r="M6" s="22"/>
      <c r="O6" s="22"/>
    </row>
    <row r="7">
      <c r="A7" s="32">
        <f>156.17-(156.17*13%)</f>
        <v>135.8679</v>
      </c>
      <c r="B7" s="32"/>
      <c r="C7" s="11"/>
      <c r="D7" s="9"/>
      <c r="E7" s="13"/>
      <c r="F7" s="9"/>
      <c r="G7" s="13"/>
      <c r="H7" s="9"/>
      <c r="I7" s="13"/>
      <c r="J7" s="9"/>
      <c r="K7" s="13"/>
      <c r="M7" s="22"/>
      <c r="O7" s="22"/>
    </row>
    <row r="8">
      <c r="A8" s="32">
        <f t="shared" ref="A8:A9" si="1">184.06-(184.06*13%)</f>
        <v>160.1322</v>
      </c>
      <c r="B8" s="32"/>
      <c r="C8" s="11"/>
      <c r="D8" s="9"/>
      <c r="E8" s="13"/>
      <c r="F8" s="9"/>
      <c r="G8" s="13"/>
      <c r="H8" s="9"/>
      <c r="I8" s="13"/>
      <c r="J8" s="9"/>
      <c r="K8" s="13"/>
      <c r="M8" s="22"/>
      <c r="O8" s="22"/>
    </row>
    <row r="9">
      <c r="A9" s="32">
        <f t="shared" si="1"/>
        <v>160.1322</v>
      </c>
      <c r="B9" s="32"/>
      <c r="C9" s="11"/>
      <c r="D9" s="9"/>
      <c r="E9" s="13"/>
      <c r="F9" s="9"/>
      <c r="G9" s="13"/>
      <c r="H9" s="9"/>
      <c r="I9" s="13"/>
      <c r="J9" s="9"/>
      <c r="K9" s="13"/>
      <c r="M9" s="22"/>
      <c r="O9" s="22"/>
    </row>
    <row r="10">
      <c r="A10" s="32">
        <v>523.44</v>
      </c>
      <c r="B10" s="32"/>
      <c r="C10" s="11"/>
      <c r="D10" s="9"/>
      <c r="E10" s="13"/>
      <c r="F10" s="9"/>
      <c r="G10" s="13"/>
      <c r="H10" s="9"/>
      <c r="I10" s="13"/>
      <c r="J10" s="9"/>
      <c r="K10" s="13"/>
      <c r="M10" s="22"/>
      <c r="O10" s="22"/>
    </row>
    <row r="11">
      <c r="A11" s="32">
        <f>184.06-(184.06*13%)</f>
        <v>160.1322</v>
      </c>
      <c r="B11" s="32"/>
      <c r="C11" s="11"/>
      <c r="D11" s="9"/>
      <c r="E11" s="13"/>
      <c r="F11" s="9"/>
      <c r="G11" s="13"/>
      <c r="H11" s="9"/>
      <c r="I11" s="13"/>
      <c r="J11" s="9"/>
      <c r="K11" s="13"/>
      <c r="M11" s="22"/>
      <c r="O11" s="22"/>
    </row>
    <row r="12">
      <c r="A12" s="32">
        <f>(   1130.3)/4*2</f>
        <v>565.15</v>
      </c>
      <c r="B12" s="32"/>
      <c r="C12" s="11"/>
      <c r="D12" s="9"/>
      <c r="E12" s="13"/>
      <c r="F12" s="9"/>
      <c r="G12" s="13"/>
      <c r="H12" s="9"/>
      <c r="I12" s="13"/>
      <c r="J12" s="9"/>
      <c r="K12" s="13"/>
      <c r="M12" s="22"/>
      <c r="O12" s="22"/>
    </row>
    <row r="13">
      <c r="A13" s="11">
        <v>0.0</v>
      </c>
      <c r="B13" s="9"/>
      <c r="C13" s="11"/>
      <c r="D13" s="9"/>
      <c r="E13" s="13"/>
      <c r="F13" s="9"/>
      <c r="G13" s="13"/>
      <c r="H13" s="9"/>
      <c r="I13" s="13"/>
      <c r="J13" s="9"/>
      <c r="K13" s="13"/>
      <c r="M13" s="22"/>
      <c r="O13" s="22"/>
    </row>
    <row r="14">
      <c r="A14" s="11">
        <v>0.0</v>
      </c>
      <c r="B14" s="12"/>
      <c r="C14" s="11"/>
      <c r="D14" s="9"/>
      <c r="E14" s="13"/>
      <c r="F14" s="9"/>
      <c r="G14" s="13"/>
      <c r="H14" s="9"/>
      <c r="I14" s="13"/>
      <c r="J14" s="9"/>
      <c r="K14" s="13"/>
      <c r="M14" s="22"/>
      <c r="O14" s="22"/>
    </row>
    <row r="15">
      <c r="A15" s="11">
        <v>0.0</v>
      </c>
      <c r="B15" s="12"/>
      <c r="C15" s="11"/>
      <c r="D15" s="9"/>
      <c r="E15" s="13"/>
      <c r="F15" s="9"/>
      <c r="G15" s="13"/>
      <c r="H15" s="9"/>
      <c r="I15" s="13"/>
      <c r="J15" s="9"/>
      <c r="K15" s="13"/>
      <c r="M15" s="22"/>
      <c r="O15" s="22"/>
    </row>
    <row r="16">
      <c r="A16" s="11">
        <v>0.0</v>
      </c>
      <c r="B16" s="12"/>
      <c r="C16" s="11"/>
      <c r="D16" s="9"/>
      <c r="E16" s="13"/>
      <c r="F16" s="9"/>
      <c r="G16" s="13"/>
      <c r="H16" s="9"/>
      <c r="I16" s="13"/>
      <c r="J16" s="9"/>
      <c r="K16" s="13"/>
      <c r="M16" s="22"/>
      <c r="O16" s="22"/>
    </row>
    <row r="17">
      <c r="A17" s="11">
        <v>0.0</v>
      </c>
      <c r="B17" s="12"/>
      <c r="C17" s="11"/>
      <c r="D17" s="9"/>
      <c r="E17" s="13"/>
      <c r="F17" s="9"/>
      <c r="G17" s="13"/>
      <c r="H17" s="9"/>
      <c r="I17" s="13"/>
      <c r="J17" s="9"/>
      <c r="K17" s="13"/>
      <c r="M17" s="22"/>
      <c r="O17" s="22"/>
    </row>
    <row r="18">
      <c r="A18" s="11">
        <v>0.0</v>
      </c>
      <c r="B18" s="9"/>
      <c r="C18" s="11"/>
      <c r="D18" s="9"/>
      <c r="E18" s="13"/>
      <c r="F18" s="9"/>
      <c r="G18" s="13"/>
      <c r="H18" s="9"/>
      <c r="I18" s="13"/>
      <c r="J18" s="9"/>
      <c r="K18" s="13"/>
      <c r="M18" s="22"/>
      <c r="O18" s="22"/>
    </row>
    <row r="19">
      <c r="A19" s="11">
        <v>0.0</v>
      </c>
      <c r="B19" s="12"/>
      <c r="C19" s="11"/>
      <c r="D19" s="9"/>
      <c r="E19" s="13"/>
      <c r="F19" s="9"/>
      <c r="G19" s="13"/>
      <c r="H19" s="9"/>
      <c r="I19" s="13"/>
      <c r="J19" s="9"/>
      <c r="K19" s="13"/>
      <c r="M19" s="22"/>
      <c r="O19" s="22"/>
    </row>
    <row r="20">
      <c r="A20" s="11">
        <v>0.0</v>
      </c>
      <c r="B20" s="12"/>
      <c r="C20" s="11"/>
      <c r="D20" s="9"/>
      <c r="E20" s="13"/>
      <c r="F20" s="9"/>
      <c r="G20" s="13"/>
      <c r="H20" s="9"/>
      <c r="I20" s="13"/>
      <c r="J20" s="9"/>
      <c r="K20" s="13"/>
      <c r="M20" s="22"/>
      <c r="O20" s="22"/>
    </row>
    <row r="21">
      <c r="A21" s="11">
        <v>0.0</v>
      </c>
      <c r="B21" s="12"/>
      <c r="C21" s="11"/>
      <c r="D21" s="9"/>
      <c r="E21" s="13"/>
      <c r="F21" s="9"/>
      <c r="G21" s="13"/>
      <c r="H21" s="9"/>
      <c r="I21" s="13"/>
      <c r="J21" s="9"/>
      <c r="K21" s="13"/>
      <c r="M21" s="22"/>
      <c r="O21" s="22"/>
    </row>
    <row r="22">
      <c r="A22" s="11">
        <v>0.0</v>
      </c>
      <c r="B22" s="9"/>
      <c r="C22" s="11"/>
      <c r="D22" s="9"/>
      <c r="E22" s="13"/>
      <c r="F22" s="9"/>
      <c r="G22" s="13"/>
      <c r="H22" s="9"/>
      <c r="I22" s="13"/>
      <c r="J22" s="9"/>
      <c r="K22" s="13"/>
      <c r="M22" s="22"/>
      <c r="O22" s="22"/>
    </row>
    <row r="23">
      <c r="A23" s="11">
        <v>0.0</v>
      </c>
      <c r="B23" s="9"/>
      <c r="C23" s="11"/>
      <c r="D23" s="9"/>
      <c r="E23" s="13"/>
      <c r="F23" s="9"/>
      <c r="G23" s="13"/>
      <c r="H23" s="9"/>
      <c r="I23" s="13"/>
      <c r="J23" s="9"/>
      <c r="K23" s="13"/>
      <c r="M23" s="22"/>
      <c r="O23" s="22"/>
    </row>
    <row r="24">
      <c r="A24" s="11">
        <v>0.0</v>
      </c>
      <c r="B24" s="9"/>
      <c r="C24" s="11"/>
      <c r="D24" s="9"/>
      <c r="E24" s="13"/>
      <c r="F24" s="9"/>
      <c r="G24" s="13"/>
      <c r="H24" s="9"/>
      <c r="I24" s="13"/>
      <c r="J24" s="9"/>
      <c r="K24" s="13"/>
      <c r="M24" s="22"/>
      <c r="O24" s="22"/>
    </row>
    <row r="25">
      <c r="A25" s="11">
        <v>0.0</v>
      </c>
      <c r="B25" s="9"/>
      <c r="C25" s="11"/>
      <c r="D25" s="9"/>
      <c r="E25" s="13"/>
      <c r="F25" s="9"/>
      <c r="G25" s="13"/>
      <c r="H25" s="9"/>
      <c r="I25" s="13"/>
      <c r="J25" s="9"/>
      <c r="K25" s="13"/>
      <c r="M25" s="22"/>
      <c r="O25" s="22"/>
    </row>
    <row r="26">
      <c r="A26" s="11">
        <v>0.0</v>
      </c>
      <c r="B26" s="9"/>
      <c r="C26" s="11"/>
      <c r="D26" s="9"/>
      <c r="E26" s="13"/>
      <c r="F26" s="9"/>
      <c r="G26" s="13"/>
      <c r="H26" s="9"/>
      <c r="I26" s="13"/>
      <c r="J26" s="9"/>
      <c r="K26" s="13"/>
      <c r="M26" s="22"/>
      <c r="O26" s="22"/>
    </row>
    <row r="27">
      <c r="A27" s="11">
        <v>0.0</v>
      </c>
      <c r="B27" s="9"/>
      <c r="C27" s="11"/>
      <c r="D27" s="9"/>
      <c r="E27" s="13"/>
      <c r="F27" s="9"/>
      <c r="G27" s="13"/>
      <c r="H27" s="9"/>
      <c r="I27" s="13"/>
      <c r="J27" s="9"/>
      <c r="K27" s="13"/>
      <c r="M27" s="22"/>
      <c r="O27" s="22"/>
    </row>
    <row r="28">
      <c r="A28" s="11">
        <v>0.0</v>
      </c>
      <c r="B28" s="9"/>
      <c r="C28" s="11"/>
      <c r="D28" s="9"/>
      <c r="E28" s="13"/>
      <c r="F28" s="9"/>
      <c r="G28" s="13"/>
      <c r="H28" s="9"/>
      <c r="I28" s="13"/>
      <c r="J28" s="9"/>
      <c r="K28" s="13"/>
      <c r="M28" s="22"/>
      <c r="O28" s="22"/>
    </row>
    <row r="29">
      <c r="A29" s="11">
        <v>0.0</v>
      </c>
      <c r="B29" s="9"/>
      <c r="C29" s="11"/>
      <c r="D29" s="9"/>
      <c r="E29" s="13"/>
      <c r="F29" s="9"/>
      <c r="G29" s="13"/>
      <c r="H29" s="9"/>
      <c r="I29" s="13"/>
      <c r="J29" s="9"/>
      <c r="K29" s="13"/>
      <c r="M29" s="22"/>
      <c r="O29" s="22"/>
    </row>
    <row r="30">
      <c r="A30" s="16">
        <f>SUM(A3:A29)</f>
        <v>2417.6069</v>
      </c>
      <c r="B30" s="9"/>
      <c r="C30" s="16"/>
      <c r="D30" s="17"/>
      <c r="E30" s="16"/>
      <c r="F30" s="16"/>
      <c r="G30" s="16"/>
      <c r="H30" s="9"/>
      <c r="I30" s="16"/>
      <c r="J30" s="9"/>
      <c r="K30" s="16"/>
      <c r="M30" s="31"/>
      <c r="O30" s="31"/>
    </row>
    <row r="31">
      <c r="A31" s="8" t="s">
        <v>4</v>
      </c>
      <c r="B31" s="18">
        <f>A30+C30+E30+G30+I30+K30</f>
        <v>2417.6069</v>
      </c>
    </row>
    <row r="32">
      <c r="A32" s="33">
        <f>(A30-1147.35)*18%</f>
        <v>228.646242</v>
      </c>
      <c r="B32" s="30"/>
      <c r="C32" s="30"/>
    </row>
    <row r="34">
      <c r="E34" s="20" t="s">
        <v>2</v>
      </c>
      <c r="F34" s="21">
        <f>B31</f>
        <v>2417.6069</v>
      </c>
      <c r="G34" s="20">
        <v>2417.61</v>
      </c>
    </row>
    <row r="35">
      <c r="E35" s="20" t="s">
        <v>3</v>
      </c>
      <c r="F35" s="21">
        <f>A32+C32+E32+G32+I32+K32</f>
        <v>228.646242</v>
      </c>
      <c r="G35" s="20">
        <v>228.65</v>
      </c>
    </row>
  </sheetData>
  <mergeCells count="2">
    <mergeCell ref="A1:K1"/>
    <mergeCell ref="B31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722.0</v>
      </c>
      <c r="B2" s="5"/>
      <c r="C2" s="6">
        <v>1415.0</v>
      </c>
      <c r="D2" s="7"/>
      <c r="E2" s="6">
        <v>1501.0</v>
      </c>
      <c r="F2" s="7"/>
      <c r="G2" s="8"/>
      <c r="H2" s="17"/>
      <c r="I2" s="28"/>
      <c r="J2" s="17"/>
      <c r="K2" s="28"/>
      <c r="M2" s="10"/>
      <c r="O2" s="10"/>
    </row>
    <row r="3">
      <c r="A3" s="11">
        <f>349.71-(349.71*13%)</f>
        <v>304.2477</v>
      </c>
      <c r="B3" s="12"/>
      <c r="C3" s="11">
        <f>(   1235.81)/2*1</f>
        <v>617.905</v>
      </c>
      <c r="D3" s="9"/>
      <c r="E3" s="13">
        <v>179.93</v>
      </c>
      <c r="F3" s="13"/>
      <c r="G3" s="13"/>
      <c r="H3" s="9"/>
      <c r="I3" s="13"/>
      <c r="J3" s="9"/>
      <c r="K3" s="13"/>
      <c r="M3" s="22"/>
      <c r="O3" s="22"/>
    </row>
    <row r="4">
      <c r="A4" s="11">
        <f>323.84-(323.84*13%)</f>
        <v>281.7408</v>
      </c>
      <c r="B4" s="12"/>
      <c r="C4" s="11">
        <v>265.0</v>
      </c>
      <c r="D4" s="9"/>
      <c r="E4" s="13">
        <v>122.68</v>
      </c>
      <c r="F4" s="13"/>
      <c r="G4" s="13"/>
      <c r="H4" s="9"/>
      <c r="I4" s="13"/>
      <c r="J4" s="9"/>
      <c r="K4" s="13"/>
      <c r="M4" s="22"/>
      <c r="O4" s="22"/>
    </row>
    <row r="5">
      <c r="A5" s="11">
        <v>291.16</v>
      </c>
      <c r="B5" s="12"/>
      <c r="C5" s="11">
        <v>142.31</v>
      </c>
      <c r="D5" s="9"/>
      <c r="E5" s="13">
        <v>132.49</v>
      </c>
      <c r="F5" s="13"/>
      <c r="G5" s="13"/>
      <c r="H5" s="9"/>
      <c r="I5" s="13"/>
      <c r="J5" s="9"/>
      <c r="K5" s="13"/>
      <c r="M5" s="22"/>
      <c r="O5" s="22"/>
    </row>
    <row r="6">
      <c r="A6" s="11">
        <v>242.09</v>
      </c>
      <c r="B6" s="11"/>
      <c r="C6" s="11">
        <v>132.49</v>
      </c>
      <c r="D6" s="9"/>
      <c r="E6" s="13">
        <v>132.49</v>
      </c>
      <c r="F6" s="13"/>
      <c r="G6" s="13"/>
      <c r="H6" s="9"/>
      <c r="I6" s="13"/>
      <c r="J6" s="9"/>
      <c r="K6" s="13"/>
      <c r="M6" s="22"/>
      <c r="O6" s="22"/>
    </row>
    <row r="7">
      <c r="A7" s="11">
        <v>122.68</v>
      </c>
      <c r="B7" s="11"/>
      <c r="C7" s="11">
        <v>132.49</v>
      </c>
      <c r="D7" s="9"/>
      <c r="E7" s="13">
        <v>142.31</v>
      </c>
      <c r="F7" s="13"/>
      <c r="G7" s="13"/>
      <c r="H7" s="9"/>
      <c r="I7" s="13"/>
      <c r="J7" s="9"/>
      <c r="K7" s="13"/>
      <c r="M7" s="22"/>
      <c r="O7" s="22"/>
    </row>
    <row r="8">
      <c r="A8" s="11">
        <v>364.77</v>
      </c>
      <c r="B8" s="9"/>
      <c r="C8" s="11">
        <v>192.2</v>
      </c>
      <c r="D8" s="9"/>
      <c r="E8" s="13">
        <v>161.12</v>
      </c>
      <c r="F8" s="13"/>
      <c r="G8" s="13"/>
      <c r="H8" s="9"/>
      <c r="I8" s="13"/>
      <c r="J8" s="9"/>
      <c r="K8" s="13"/>
      <c r="M8" s="22"/>
      <c r="O8" s="22"/>
    </row>
    <row r="9">
      <c r="A9" s="11">
        <v>242.09</v>
      </c>
      <c r="B9" s="12"/>
      <c r="C9" s="11">
        <f> 573.58-( 573.58*13%)</f>
        <v>499.0146</v>
      </c>
      <c r="D9" s="9"/>
      <c r="E9" s="13">
        <v>142.31</v>
      </c>
      <c r="F9" s="13"/>
      <c r="G9" s="13"/>
      <c r="H9" s="9"/>
      <c r="I9" s="13"/>
      <c r="J9" s="9"/>
      <c r="K9" s="13"/>
      <c r="M9" s="22"/>
      <c r="O9" s="22"/>
    </row>
    <row r="10">
      <c r="A10" s="11">
        <f>215.05-(215.05*13%)</f>
        <v>187.0935</v>
      </c>
      <c r="B10" s="12"/>
      <c r="C10" s="11">
        <v>275.63</v>
      </c>
      <c r="D10" s="9"/>
      <c r="E10" s="13">
        <v>142.31</v>
      </c>
      <c r="F10" s="9"/>
      <c r="G10" s="13"/>
      <c r="H10" s="9"/>
      <c r="I10" s="13"/>
      <c r="J10" s="9"/>
      <c r="K10" s="13"/>
      <c r="M10" s="22"/>
      <c r="O10" s="22"/>
    </row>
    <row r="11">
      <c r="A11" s="11">
        <f>161-(161*13%)</f>
        <v>140.07</v>
      </c>
      <c r="B11" s="12"/>
      <c r="C11" s="11">
        <f> 189.75-( 189.75*13%)</f>
        <v>165.0825</v>
      </c>
      <c r="D11" s="9"/>
      <c r="E11" s="13">
        <v>312.42</v>
      </c>
      <c r="F11" s="13"/>
      <c r="G11" s="13"/>
      <c r="H11" s="9"/>
      <c r="I11" s="13"/>
      <c r="J11" s="9"/>
      <c r="K11" s="13"/>
      <c r="M11" s="22"/>
      <c r="O11" s="22"/>
    </row>
    <row r="12">
      <c r="A12" s="11">
        <f> 202.4-( 202.4*13%)</f>
        <v>176.088</v>
      </c>
      <c r="B12" s="12"/>
      <c r="C12" s="11">
        <f> 253-( 253*13%)</f>
        <v>220.11</v>
      </c>
      <c r="D12" s="9"/>
      <c r="E12" s="13">
        <f>497.74-(497.74*13%)</f>
        <v>433.0338</v>
      </c>
      <c r="F12" s="9"/>
      <c r="G12" s="13"/>
      <c r="H12" s="9"/>
      <c r="I12" s="13"/>
      <c r="J12" s="9"/>
      <c r="K12" s="13"/>
      <c r="M12" s="22"/>
      <c r="O12" s="22"/>
    </row>
    <row r="13">
      <c r="A13" s="11">
        <f>227.7-(227.7*13%)</f>
        <v>198.099</v>
      </c>
      <c r="B13" s="9"/>
      <c r="C13" s="11">
        <v>511.17</v>
      </c>
      <c r="D13" s="9"/>
      <c r="E13" s="13">
        <v>312.42</v>
      </c>
      <c r="F13" s="9"/>
      <c r="G13" s="13"/>
      <c r="H13" s="9"/>
      <c r="I13" s="13"/>
      <c r="J13" s="9"/>
      <c r="K13" s="13"/>
      <c r="M13" s="22"/>
      <c r="O13" s="22"/>
    </row>
    <row r="14">
      <c r="A14" s="25">
        <v>161.12</v>
      </c>
      <c r="B14" s="26"/>
      <c r="C14" s="25">
        <v>161.12</v>
      </c>
      <c r="D14" s="10"/>
      <c r="E14" s="13">
        <v>161.12</v>
      </c>
      <c r="F14" s="9"/>
      <c r="G14" s="13"/>
      <c r="H14" s="9"/>
      <c r="I14" s="13"/>
      <c r="J14" s="9"/>
      <c r="K14" s="13"/>
      <c r="M14" s="22"/>
      <c r="O14" s="22"/>
    </row>
    <row r="15">
      <c r="A15" s="25">
        <v>610.13</v>
      </c>
      <c r="B15" s="26"/>
      <c r="C15" s="25">
        <f> 240.35-( 240.35*13%)</f>
        <v>209.1045</v>
      </c>
      <c r="D15" s="10"/>
      <c r="E15" s="13">
        <v>179.93</v>
      </c>
      <c r="F15" s="9"/>
      <c r="G15" s="13"/>
      <c r="H15" s="9"/>
      <c r="I15" s="13"/>
      <c r="J15" s="9"/>
      <c r="K15" s="13"/>
      <c r="M15" s="22"/>
      <c r="O15" s="22"/>
    </row>
    <row r="16">
      <c r="A16" s="25">
        <f> 189.75-( 189.75*13%)</f>
        <v>165.0825</v>
      </c>
      <c r="B16" s="26"/>
      <c r="C16" s="25">
        <f>  178.48-(  178.48*13%)</f>
        <v>155.2776</v>
      </c>
      <c r="D16" s="9"/>
      <c r="E16" s="13">
        <v>161.12</v>
      </c>
      <c r="F16" s="9"/>
      <c r="G16" s="13"/>
      <c r="H16" s="9"/>
      <c r="I16" s="13"/>
      <c r="J16" s="9"/>
      <c r="K16" s="13"/>
      <c r="M16" s="22"/>
      <c r="O16" s="22"/>
    </row>
    <row r="17">
      <c r="A17" s="25">
        <f t="shared" ref="A17:A18" si="1">172.5-(172.5*13%)</f>
        <v>150.075</v>
      </c>
      <c r="B17" s="26"/>
      <c r="C17" s="25">
        <f>  1011.39-(  1011.39*13%)</f>
        <v>879.9093</v>
      </c>
      <c r="D17" s="10"/>
      <c r="E17" s="13">
        <v>407.3</v>
      </c>
      <c r="F17" s="9"/>
      <c r="G17" s="13"/>
      <c r="H17" s="9"/>
      <c r="I17" s="13"/>
      <c r="J17" s="9"/>
      <c r="K17" s="13"/>
      <c r="M17" s="22"/>
      <c r="O17" s="22"/>
    </row>
    <row r="18">
      <c r="A18" s="25">
        <f t="shared" si="1"/>
        <v>150.075</v>
      </c>
      <c r="B18" s="24"/>
      <c r="C18" s="25">
        <f>(    623.22)/2*1</f>
        <v>311.61</v>
      </c>
      <c r="D18" s="10"/>
      <c r="E18" s="13">
        <v>170.11</v>
      </c>
      <c r="F18" s="9"/>
      <c r="G18" s="13"/>
      <c r="H18" s="9"/>
      <c r="I18" s="13"/>
      <c r="J18" s="9"/>
      <c r="K18" s="13"/>
      <c r="M18" s="22"/>
      <c r="O18" s="22"/>
    </row>
    <row r="19">
      <c r="A19" s="25">
        <f> 240.35-( 240.35*13%)</f>
        <v>209.1045</v>
      </c>
      <c r="B19" s="26"/>
      <c r="C19" s="25">
        <v>0.0</v>
      </c>
      <c r="D19" s="9"/>
      <c r="E19" s="13">
        <v>179.93</v>
      </c>
      <c r="F19" s="9"/>
      <c r="G19" s="13"/>
      <c r="H19" s="9"/>
      <c r="I19" s="13"/>
      <c r="J19" s="9"/>
      <c r="K19" s="13"/>
      <c r="M19" s="22"/>
      <c r="O19" s="22"/>
    </row>
    <row r="20">
      <c r="A20" s="25">
        <f>184-(184*13%)</f>
        <v>160.08</v>
      </c>
      <c r="B20" s="26"/>
      <c r="C20" s="25">
        <v>0.0</v>
      </c>
      <c r="D20" s="9"/>
      <c r="E20" s="13">
        <v>321.42</v>
      </c>
      <c r="F20" s="9"/>
      <c r="G20" s="13"/>
      <c r="H20" s="9"/>
      <c r="I20" s="13"/>
      <c r="J20" s="9"/>
      <c r="K20" s="13"/>
      <c r="M20" s="22"/>
      <c r="O20" s="22"/>
    </row>
    <row r="21">
      <c r="A21" s="25">
        <f>  1011.39-(  1011.39*13%)</f>
        <v>879.9093</v>
      </c>
      <c r="B21" s="26"/>
      <c r="C21" s="25">
        <v>0.0</v>
      </c>
      <c r="D21" s="9"/>
      <c r="E21" s="13">
        <v>0.0</v>
      </c>
      <c r="F21" s="9"/>
      <c r="G21" s="13"/>
      <c r="H21" s="9"/>
      <c r="I21" s="13"/>
      <c r="J21" s="9"/>
      <c r="K21" s="13"/>
      <c r="M21" s="22"/>
      <c r="O21" s="22"/>
    </row>
    <row r="22">
      <c r="A22" s="25">
        <f>338.5-(338.5*13%)</f>
        <v>294.495</v>
      </c>
      <c r="B22" s="24"/>
      <c r="C22" s="25">
        <v>0.0</v>
      </c>
      <c r="D22" s="9"/>
      <c r="E22" s="13">
        <v>0.0</v>
      </c>
      <c r="F22" s="9"/>
      <c r="G22" s="13"/>
      <c r="H22" s="9"/>
      <c r="I22" s="13"/>
      <c r="J22" s="9"/>
      <c r="K22" s="13"/>
      <c r="M22" s="22"/>
      <c r="O22" s="22"/>
    </row>
    <row r="23">
      <c r="A23" s="25">
        <v>0.0</v>
      </c>
      <c r="B23" s="24"/>
      <c r="C23" s="25">
        <v>0.0</v>
      </c>
      <c r="D23" s="9"/>
      <c r="E23" s="13">
        <v>0.0</v>
      </c>
      <c r="F23" s="9"/>
      <c r="G23" s="13"/>
      <c r="H23" s="9"/>
      <c r="I23" s="13"/>
      <c r="J23" s="9"/>
      <c r="K23" s="13"/>
      <c r="M23" s="22"/>
      <c r="O23" s="22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/>
      <c r="H24" s="9"/>
      <c r="I24" s="13"/>
      <c r="J24" s="9"/>
      <c r="K24" s="13"/>
      <c r="M24" s="22"/>
      <c r="O24" s="22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/>
      <c r="H25" s="9"/>
      <c r="I25" s="13"/>
      <c r="J25" s="9"/>
      <c r="K25" s="13"/>
      <c r="M25" s="22"/>
      <c r="O25" s="22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/>
      <c r="H26" s="9"/>
      <c r="I26" s="13"/>
      <c r="J26" s="9"/>
      <c r="K26" s="13"/>
      <c r="M26" s="22"/>
      <c r="O26" s="22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/>
      <c r="H27" s="9"/>
      <c r="I27" s="13"/>
      <c r="J27" s="9"/>
      <c r="K27" s="13"/>
      <c r="M27" s="22"/>
      <c r="O27" s="22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/>
      <c r="H28" s="9"/>
      <c r="I28" s="13"/>
      <c r="J28" s="9"/>
      <c r="K28" s="13"/>
      <c r="M28" s="22"/>
      <c r="O28" s="22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/>
      <c r="H29" s="9"/>
      <c r="I29" s="13"/>
      <c r="J29" s="9"/>
      <c r="K29" s="13"/>
      <c r="M29" s="22"/>
      <c r="O29" s="22"/>
    </row>
    <row r="30">
      <c r="A30" s="16">
        <f>SUM(A3:A29)</f>
        <v>5330.2003</v>
      </c>
      <c r="B30" s="16"/>
      <c r="C30" s="16">
        <f>SUM(C3:C29)</f>
        <v>4870.4235</v>
      </c>
      <c r="D30" s="16"/>
      <c r="E30" s="16">
        <f>SUM(E3:E29)</f>
        <v>3794.4438</v>
      </c>
      <c r="F30" s="16"/>
      <c r="G30" s="16"/>
      <c r="H30" s="9"/>
      <c r="I30" s="16"/>
      <c r="J30" s="9"/>
      <c r="K30" s="16"/>
      <c r="M30" s="31"/>
      <c r="O30" s="31"/>
    </row>
    <row r="31">
      <c r="A31" s="8" t="s">
        <v>4</v>
      </c>
      <c r="B31" s="18">
        <f>A30+C30+E30+G30+I30+K30</f>
        <v>13995.0676</v>
      </c>
    </row>
    <row r="32">
      <c r="A32" s="33">
        <f>(A30-1726.18)*18%</f>
        <v>648.723654</v>
      </c>
      <c r="B32" s="33"/>
      <c r="C32" s="33">
        <f>(C30-2111.81)*18%</f>
        <v>496.55043</v>
      </c>
      <c r="D32" s="33"/>
      <c r="E32" s="33">
        <f>(E30-1780.33)*18%</f>
        <v>362.540484</v>
      </c>
    </row>
    <row r="35">
      <c r="D35" s="20" t="s">
        <v>2</v>
      </c>
      <c r="E35" s="21">
        <f>B31</f>
        <v>13995.0676</v>
      </c>
      <c r="F35" s="20">
        <v>16173.1</v>
      </c>
    </row>
    <row r="36">
      <c r="D36" s="20" t="s">
        <v>3</v>
      </c>
      <c r="E36" s="21">
        <f>A32+C32+E32+G32+I32+K32</f>
        <v>1507.814568</v>
      </c>
      <c r="F36" s="20">
        <v>1899.86</v>
      </c>
    </row>
  </sheetData>
  <mergeCells count="2">
    <mergeCell ref="A1:K1"/>
    <mergeCell ref="B31:K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1311.0</v>
      </c>
      <c r="B2" s="5"/>
      <c r="C2" s="6">
        <v>1312.0</v>
      </c>
      <c r="D2" s="7"/>
      <c r="E2" s="6">
        <v>1419.0</v>
      </c>
      <c r="F2" s="24"/>
      <c r="G2" s="8"/>
      <c r="H2" s="17"/>
      <c r="I2" s="28"/>
      <c r="J2" s="17"/>
      <c r="K2" s="28"/>
      <c r="L2" s="9"/>
      <c r="M2" s="10"/>
      <c r="N2" s="9"/>
      <c r="O2" s="10"/>
    </row>
    <row r="3">
      <c r="A3" s="11">
        <f>(   450.61)/2*1</f>
        <v>225.305</v>
      </c>
      <c r="B3" s="12"/>
      <c r="C3" s="11">
        <f>196.65-(196.65*16%)</f>
        <v>165.186</v>
      </c>
      <c r="D3" s="9"/>
      <c r="E3" s="13">
        <v>174.54</v>
      </c>
      <c r="F3" s="9"/>
      <c r="G3" s="13"/>
      <c r="H3" s="9"/>
      <c r="I3" s="13"/>
      <c r="J3" s="9"/>
      <c r="K3" s="13"/>
      <c r="L3" s="9"/>
      <c r="M3" s="13"/>
      <c r="N3" s="9"/>
      <c r="O3" s="13"/>
    </row>
    <row r="4">
      <c r="A4" s="11">
        <f t="shared" ref="A4:A5" si="1">134.55-(134.55*16%)</f>
        <v>113.022</v>
      </c>
      <c r="B4" s="12"/>
      <c r="C4" s="11">
        <f>134.55-(134.55*16%)</f>
        <v>113.022</v>
      </c>
      <c r="D4" s="9"/>
      <c r="E4" s="13">
        <v>119.0</v>
      </c>
      <c r="F4" s="9"/>
      <c r="G4" s="13"/>
      <c r="H4" s="9"/>
      <c r="I4" s="13"/>
      <c r="J4" s="9"/>
      <c r="K4" s="13"/>
      <c r="L4" s="9"/>
      <c r="M4" s="13"/>
      <c r="N4" s="9"/>
      <c r="O4" s="13"/>
    </row>
    <row r="5">
      <c r="A5" s="11">
        <f t="shared" si="1"/>
        <v>113.022</v>
      </c>
      <c r="B5" s="12"/>
      <c r="C5" s="11">
        <f>128.34-(128.34*16%)</f>
        <v>107.8056</v>
      </c>
      <c r="D5" s="9"/>
      <c r="E5" s="13">
        <f> 155.25-( 155.25*13%)</f>
        <v>135.0675</v>
      </c>
      <c r="F5" s="9"/>
      <c r="G5" s="13"/>
      <c r="H5" s="9"/>
      <c r="I5" s="13"/>
      <c r="J5" s="9"/>
      <c r="K5" s="13"/>
      <c r="L5" s="9"/>
      <c r="M5" s="13"/>
      <c r="N5" s="9"/>
      <c r="O5" s="13"/>
    </row>
    <row r="6">
      <c r="A6" s="11">
        <v>119.0</v>
      </c>
      <c r="B6" s="11"/>
      <c r="C6" s="25">
        <f>134.55-(134.55*16%)</f>
        <v>113.022</v>
      </c>
      <c r="D6" s="10"/>
      <c r="E6" s="13">
        <f>  139.73-(  139.73*16%)</f>
        <v>117.3732</v>
      </c>
      <c r="F6" s="9"/>
      <c r="G6" s="13"/>
      <c r="H6" s="9"/>
      <c r="I6" s="13"/>
      <c r="J6" s="9"/>
      <c r="K6" s="13"/>
      <c r="L6" s="9"/>
      <c r="M6" s="13"/>
      <c r="N6" s="9"/>
      <c r="O6" s="13"/>
    </row>
    <row r="7">
      <c r="A7" s="11">
        <v>156.3</v>
      </c>
      <c r="B7" s="11"/>
      <c r="C7" s="11">
        <v>156.3</v>
      </c>
      <c r="D7" s="9"/>
      <c r="E7" s="13">
        <f>  140.76-(  140.76*13%)</f>
        <v>122.4612</v>
      </c>
      <c r="F7" s="9"/>
      <c r="G7" s="13"/>
      <c r="H7" s="9"/>
      <c r="I7" s="13"/>
      <c r="J7" s="9"/>
      <c r="K7" s="13"/>
      <c r="L7" s="9"/>
      <c r="M7" s="13"/>
      <c r="N7" s="9"/>
      <c r="O7" s="13"/>
    </row>
    <row r="8">
      <c r="A8" s="11">
        <v>138.22</v>
      </c>
      <c r="B8" s="9"/>
      <c r="C8" s="11">
        <f>144.9-(144.9*16%)</f>
        <v>121.716</v>
      </c>
      <c r="D8" s="9"/>
      <c r="E8" s="13">
        <v>138.04</v>
      </c>
      <c r="F8" s="9"/>
      <c r="G8" s="13"/>
      <c r="H8" s="9"/>
      <c r="I8" s="13"/>
      <c r="J8" s="9"/>
      <c r="K8" s="13"/>
      <c r="L8" s="9"/>
      <c r="M8" s="13"/>
      <c r="N8" s="9"/>
      <c r="O8" s="13"/>
    </row>
    <row r="9">
      <c r="A9" s="11">
        <f>163.01-(163.01*16%)</f>
        <v>136.9284</v>
      </c>
      <c r="B9" s="12"/>
      <c r="C9" s="11">
        <f>210-(210*10%)</f>
        <v>189</v>
      </c>
      <c r="D9" s="10"/>
      <c r="E9" s="13">
        <f>310.5-(310.5*13%)</f>
        <v>270.135</v>
      </c>
      <c r="F9" s="9"/>
      <c r="G9" s="13"/>
      <c r="H9" s="9"/>
      <c r="I9" s="13"/>
      <c r="J9" s="9"/>
      <c r="K9" s="13"/>
      <c r="L9" s="9"/>
      <c r="M9" s="13"/>
      <c r="N9" s="9"/>
      <c r="O9" s="13"/>
    </row>
    <row r="10">
      <c r="A10" s="11">
        <f>180.71-(180.71*16%)</f>
        <v>151.7964</v>
      </c>
      <c r="B10" s="12"/>
      <c r="C10" s="11">
        <f>155.25-(155.25*16%)</f>
        <v>130.41</v>
      </c>
      <c r="D10" s="9"/>
      <c r="E10" s="13">
        <f> 155.25-( 155.25*13%)</f>
        <v>135.0675</v>
      </c>
      <c r="F10" s="9"/>
      <c r="G10" s="13"/>
      <c r="H10" s="9"/>
      <c r="I10" s="13"/>
      <c r="J10" s="9"/>
      <c r="K10" s="13"/>
      <c r="L10" s="9"/>
      <c r="M10" s="13"/>
      <c r="N10" s="9"/>
      <c r="O10" s="13"/>
    </row>
    <row r="11">
      <c r="A11" s="11">
        <f>172.5-(172.5*16%)</f>
        <v>144.9</v>
      </c>
      <c r="B11" s="12"/>
      <c r="C11" s="11">
        <f>150.59-(150.59*16%)</f>
        <v>126.4956</v>
      </c>
      <c r="D11" s="9"/>
      <c r="E11" s="13">
        <f> 175.95-( 175.95*13%)</f>
        <v>153.0765</v>
      </c>
      <c r="F11" s="9"/>
      <c r="G11" s="13"/>
      <c r="H11" s="9"/>
      <c r="I11" s="13"/>
      <c r="J11" s="9"/>
      <c r="K11" s="13"/>
      <c r="L11" s="9"/>
      <c r="M11" s="13"/>
      <c r="N11" s="9"/>
      <c r="O11" s="13"/>
    </row>
    <row r="12">
      <c r="A12" s="11">
        <v>227.36</v>
      </c>
      <c r="B12" s="12"/>
      <c r="C12" s="11">
        <f>381.51-(381.51*16%)</f>
        <v>320.4684</v>
      </c>
      <c r="D12" s="9"/>
      <c r="E12" s="13">
        <v>138.04</v>
      </c>
      <c r="F12" s="9"/>
      <c r="G12" s="13"/>
      <c r="H12" s="9"/>
      <c r="I12" s="13"/>
      <c r="J12" s="9"/>
      <c r="K12" s="13"/>
      <c r="L12" s="9"/>
      <c r="M12" s="13"/>
      <c r="N12" s="9"/>
      <c r="O12" s="13"/>
    </row>
    <row r="13">
      <c r="A13" s="11">
        <v>288.71</v>
      </c>
      <c r="B13" s="10"/>
      <c r="C13" s="11">
        <f>558.9-(558.9*16%)</f>
        <v>469.476</v>
      </c>
      <c r="D13" s="9"/>
      <c r="E13" s="13">
        <f> 195.77-( 195.77*13%)</f>
        <v>170.3199</v>
      </c>
      <c r="F13" s="9"/>
      <c r="G13" s="13"/>
      <c r="H13" s="9"/>
      <c r="I13" s="13"/>
      <c r="J13" s="9"/>
      <c r="K13" s="13"/>
      <c r="L13" s="9"/>
      <c r="M13" s="13"/>
      <c r="N13" s="9"/>
      <c r="O13" s="13"/>
    </row>
    <row r="14">
      <c r="A14" s="11">
        <v>284.8</v>
      </c>
      <c r="B14" s="12"/>
      <c r="C14" s="11">
        <f>300-(300*10%)</f>
        <v>270</v>
      </c>
      <c r="D14" s="9"/>
      <c r="E14" s="13">
        <f>  522.06-(  522.06*13%)</f>
        <v>454.1922</v>
      </c>
      <c r="F14" s="9"/>
      <c r="G14" s="13"/>
      <c r="H14" s="9"/>
      <c r="I14" s="13"/>
      <c r="J14" s="9"/>
      <c r="K14" s="13"/>
      <c r="L14" s="9"/>
      <c r="M14" s="13"/>
      <c r="N14" s="9"/>
      <c r="O14" s="13"/>
    </row>
    <row r="15">
      <c r="A15" s="11">
        <v>138.22</v>
      </c>
      <c r="B15" s="12"/>
      <c r="C15" s="11">
        <f>150-(150*10%)</f>
        <v>135</v>
      </c>
      <c r="D15" s="9"/>
      <c r="E15" s="13">
        <v>138.04</v>
      </c>
      <c r="F15" s="9"/>
      <c r="G15" s="13"/>
      <c r="H15" s="9"/>
      <c r="I15" s="13"/>
      <c r="J15" s="9"/>
      <c r="K15" s="13"/>
      <c r="L15" s="9"/>
      <c r="M15" s="13"/>
      <c r="N15" s="9"/>
      <c r="O15" s="13"/>
    </row>
    <row r="16">
      <c r="A16" s="11">
        <v>165.01</v>
      </c>
      <c r="B16" s="12"/>
      <c r="C16" s="11">
        <f>186.3-(186.3*16%)</f>
        <v>156.492</v>
      </c>
      <c r="D16" s="9"/>
      <c r="E16" s="13">
        <f> 175.95-( 175.95*13%)</f>
        <v>153.0765</v>
      </c>
      <c r="F16" s="9"/>
      <c r="G16" s="13"/>
      <c r="H16" s="9"/>
      <c r="I16" s="13"/>
      <c r="J16" s="9"/>
      <c r="K16" s="13"/>
      <c r="L16" s="9"/>
      <c r="M16" s="13"/>
      <c r="N16" s="9"/>
      <c r="O16" s="13"/>
    </row>
    <row r="17">
      <c r="A17" s="11">
        <v>174.54</v>
      </c>
      <c r="B17" s="12"/>
      <c r="C17" s="11">
        <v>184.04</v>
      </c>
      <c r="E17" s="13">
        <f> 155.25-( 155.25*13%)</f>
        <v>135.0675</v>
      </c>
      <c r="F17" s="9"/>
      <c r="G17" s="13"/>
      <c r="H17" s="9"/>
      <c r="I17" s="13"/>
      <c r="J17" s="9"/>
      <c r="K17" s="13"/>
      <c r="L17" s="9"/>
      <c r="M17" s="13"/>
      <c r="N17" s="9"/>
      <c r="O17" s="13"/>
    </row>
    <row r="18">
      <c r="A18" s="11">
        <f>186.3-(186.3*16%)</f>
        <v>156.492</v>
      </c>
      <c r="B18" s="9"/>
      <c r="C18" s="11">
        <f>390.05-(390.05*16%)</f>
        <v>327.642</v>
      </c>
      <c r="D18" s="9"/>
      <c r="E18" s="13">
        <v>352.25</v>
      </c>
      <c r="F18" s="9"/>
      <c r="G18" s="13"/>
      <c r="H18" s="9"/>
      <c r="I18" s="13"/>
      <c r="J18" s="9"/>
      <c r="K18" s="13"/>
      <c r="L18" s="9"/>
      <c r="M18" s="13"/>
      <c r="N18" s="9"/>
      <c r="O18" s="13"/>
    </row>
    <row r="19">
      <c r="A19" s="11">
        <v>0.0</v>
      </c>
      <c r="B19" s="11"/>
      <c r="C19" s="11">
        <f>196.65-(196.65*16%)</f>
        <v>165.186</v>
      </c>
      <c r="D19" s="9"/>
      <c r="E19" s="13">
        <v>0.0</v>
      </c>
      <c r="F19" s="9"/>
      <c r="G19" s="13"/>
      <c r="H19" s="9"/>
      <c r="I19" s="13"/>
      <c r="J19" s="9"/>
      <c r="K19" s="13"/>
      <c r="L19" s="9"/>
      <c r="M19" s="13"/>
      <c r="N19" s="9"/>
      <c r="O19" s="13"/>
    </row>
    <row r="20">
      <c r="A20" s="11">
        <v>0.0</v>
      </c>
      <c r="B20" s="12"/>
      <c r="C20" s="11">
        <f>(    674.88)/2*1</f>
        <v>337.44</v>
      </c>
      <c r="D20" s="10"/>
      <c r="E20" s="13">
        <v>0.0</v>
      </c>
      <c r="F20" s="9"/>
      <c r="G20" s="13"/>
      <c r="H20" s="9"/>
      <c r="I20" s="13"/>
      <c r="J20" s="9"/>
      <c r="K20" s="13"/>
      <c r="L20" s="9"/>
      <c r="M20" s="13"/>
      <c r="N20" s="9"/>
      <c r="O20" s="13"/>
    </row>
    <row r="21">
      <c r="A21" s="11">
        <v>0.0</v>
      </c>
      <c r="B21" s="12"/>
      <c r="C21" s="11">
        <v>0.0</v>
      </c>
      <c r="D21" s="9"/>
      <c r="E21" s="13">
        <v>0.0</v>
      </c>
      <c r="F21" s="9"/>
      <c r="G21" s="13"/>
      <c r="H21" s="9"/>
      <c r="I21" s="13"/>
      <c r="J21" s="9"/>
      <c r="K21" s="13"/>
      <c r="L21" s="9"/>
      <c r="M21" s="13"/>
      <c r="N21" s="9"/>
      <c r="O21" s="13"/>
    </row>
    <row r="22">
      <c r="A22" s="11">
        <v>0.0</v>
      </c>
      <c r="B22" s="9"/>
      <c r="C22" s="11">
        <v>0.0</v>
      </c>
      <c r="D22" s="9"/>
      <c r="E22" s="13">
        <v>0.0</v>
      </c>
      <c r="F22" s="9"/>
      <c r="G22" s="13"/>
      <c r="H22" s="9"/>
      <c r="I22" s="13"/>
      <c r="J22" s="9"/>
      <c r="K22" s="13"/>
      <c r="L22" s="9"/>
      <c r="M22" s="13"/>
      <c r="N22" s="9"/>
      <c r="O22" s="13"/>
    </row>
    <row r="23">
      <c r="A23" s="11">
        <v>0.0</v>
      </c>
      <c r="B23" s="9"/>
      <c r="C23" s="11">
        <v>0.0</v>
      </c>
      <c r="D23" s="9"/>
      <c r="E23" s="13">
        <v>0.0</v>
      </c>
      <c r="F23" s="9"/>
      <c r="G23" s="13"/>
      <c r="H23" s="9"/>
      <c r="I23" s="13"/>
      <c r="J23" s="9"/>
      <c r="K23" s="13"/>
      <c r="L23" s="9"/>
      <c r="M23" s="13"/>
      <c r="N23" s="9"/>
      <c r="O23" s="13"/>
    </row>
    <row r="24">
      <c r="A24" s="11">
        <v>0.0</v>
      </c>
      <c r="B24" s="9"/>
      <c r="C24" s="11">
        <v>0.0</v>
      </c>
      <c r="D24" s="9"/>
      <c r="E24" s="13">
        <v>0.0</v>
      </c>
      <c r="F24" s="9"/>
      <c r="G24" s="13"/>
      <c r="H24" s="9"/>
      <c r="I24" s="13"/>
      <c r="J24" s="9"/>
      <c r="K24" s="13"/>
      <c r="L24" s="9"/>
      <c r="M24" s="13"/>
      <c r="N24" s="9"/>
      <c r="O24" s="13"/>
    </row>
    <row r="25">
      <c r="A25" s="11">
        <v>0.0</v>
      </c>
      <c r="B25" s="9"/>
      <c r="C25" s="11">
        <v>0.0</v>
      </c>
      <c r="D25" s="9"/>
      <c r="E25" s="13">
        <v>0.0</v>
      </c>
      <c r="F25" s="9"/>
      <c r="G25" s="13"/>
      <c r="H25" s="9"/>
      <c r="I25" s="13"/>
      <c r="J25" s="9"/>
      <c r="K25" s="13"/>
      <c r="L25" s="9"/>
      <c r="M25" s="13"/>
      <c r="N25" s="9"/>
      <c r="O25" s="13"/>
    </row>
    <row r="26">
      <c r="A26" s="11">
        <v>0.0</v>
      </c>
      <c r="B26" s="9"/>
      <c r="C26" s="11">
        <v>0.0</v>
      </c>
      <c r="D26" s="9"/>
      <c r="E26" s="13">
        <v>0.0</v>
      </c>
      <c r="F26" s="9"/>
      <c r="G26" s="13"/>
      <c r="H26" s="9"/>
      <c r="I26" s="13"/>
      <c r="J26" s="9"/>
      <c r="K26" s="13"/>
      <c r="L26" s="9"/>
      <c r="M26" s="13"/>
      <c r="N26" s="9"/>
      <c r="O26" s="13"/>
    </row>
    <row r="27">
      <c r="A27" s="11">
        <v>0.0</v>
      </c>
      <c r="B27" s="9"/>
      <c r="C27" s="11">
        <v>0.0</v>
      </c>
      <c r="D27" s="9"/>
      <c r="E27" s="13">
        <v>0.0</v>
      </c>
      <c r="F27" s="9"/>
      <c r="G27" s="13"/>
      <c r="H27" s="9"/>
      <c r="I27" s="13"/>
      <c r="J27" s="9"/>
      <c r="K27" s="13"/>
      <c r="L27" s="9"/>
      <c r="M27" s="13"/>
      <c r="N27" s="9"/>
      <c r="O27" s="13"/>
    </row>
    <row r="28">
      <c r="A28" s="11">
        <v>0.0</v>
      </c>
      <c r="B28" s="9"/>
      <c r="C28" s="11">
        <v>0.0</v>
      </c>
      <c r="D28" s="9"/>
      <c r="E28" s="13">
        <v>0.0</v>
      </c>
      <c r="F28" s="9"/>
      <c r="G28" s="13"/>
      <c r="H28" s="9"/>
      <c r="I28" s="13"/>
      <c r="J28" s="9"/>
      <c r="K28" s="13"/>
      <c r="L28" s="9"/>
      <c r="M28" s="13"/>
      <c r="N28" s="9"/>
      <c r="O28" s="13"/>
    </row>
    <row r="29">
      <c r="A29" s="11">
        <v>0.0</v>
      </c>
      <c r="B29" s="9"/>
      <c r="C29" s="11">
        <v>0.0</v>
      </c>
      <c r="D29" s="9"/>
      <c r="E29" s="13">
        <v>0.0</v>
      </c>
      <c r="F29" s="9"/>
      <c r="G29" s="13"/>
      <c r="H29" s="9"/>
      <c r="I29" s="13"/>
      <c r="J29" s="9"/>
      <c r="K29" s="13"/>
      <c r="L29" s="9"/>
      <c r="M29" s="13"/>
      <c r="N29" s="9"/>
      <c r="O29" s="13"/>
    </row>
    <row r="30">
      <c r="A30" s="16">
        <f>SUM(A3:A29)</f>
        <v>2733.6258</v>
      </c>
      <c r="B30" s="16"/>
      <c r="C30" s="16">
        <f>SUM(C3:C29)</f>
        <v>3588.7016</v>
      </c>
      <c r="D30" s="16"/>
      <c r="E30" s="16">
        <f>SUM(E3:E29)</f>
        <v>2905.747</v>
      </c>
      <c r="F30" s="16"/>
      <c r="G30" s="16"/>
      <c r="H30" s="9"/>
      <c r="I30" s="16"/>
      <c r="J30" s="9"/>
      <c r="K30" s="16"/>
      <c r="L30" s="9"/>
      <c r="M30" s="16"/>
      <c r="N30" s="9"/>
      <c r="O30" s="16"/>
    </row>
    <row r="31">
      <c r="A31" s="34" t="s">
        <v>4</v>
      </c>
      <c r="B31" s="35">
        <f>A30+C30+E30+G30+I30+K30</f>
        <v>9228.0744</v>
      </c>
      <c r="C31" s="2"/>
      <c r="D31" s="2"/>
      <c r="E31" s="2"/>
      <c r="F31" s="2"/>
      <c r="G31" s="2"/>
      <c r="H31" s="2"/>
      <c r="I31" s="2"/>
      <c r="J31" s="2"/>
      <c r="K31" s="3"/>
      <c r="L31" s="7"/>
      <c r="M31" s="7"/>
      <c r="N31" s="7"/>
      <c r="O31" s="7"/>
    </row>
    <row r="32">
      <c r="A32" s="14">
        <f>(A30)*0%</f>
        <v>0</v>
      </c>
      <c r="B32" s="23"/>
      <c r="C32" s="14">
        <f>(C30)*15%</f>
        <v>538.30524</v>
      </c>
      <c r="D32" s="23"/>
      <c r="E32" s="14">
        <f>(E30)*12%</f>
        <v>348.68964</v>
      </c>
    </row>
    <row r="35">
      <c r="D35" s="20" t="s">
        <v>2</v>
      </c>
      <c r="E35" s="21">
        <f>B31</f>
        <v>9228.0744</v>
      </c>
      <c r="F35" s="22">
        <v>9341.1</v>
      </c>
    </row>
    <row r="36">
      <c r="D36" s="20" t="s">
        <v>3</v>
      </c>
      <c r="E36" s="21">
        <f>A32+C32+E32+G32+I32+K32</f>
        <v>886.99488</v>
      </c>
      <c r="F36" s="22">
        <v>903.95</v>
      </c>
    </row>
  </sheetData>
  <mergeCells count="2">
    <mergeCell ref="A1:K1"/>
    <mergeCell ref="B31:K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  <col customWidth="1" min="10" max="10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5" t="s">
        <v>5</v>
      </c>
      <c r="B2" s="5"/>
      <c r="C2" s="8">
        <v>1615.0</v>
      </c>
      <c r="D2" s="7"/>
      <c r="E2" s="6" t="s">
        <v>6</v>
      </c>
      <c r="F2" s="7"/>
      <c r="G2" s="6">
        <v>1605.0</v>
      </c>
      <c r="H2" s="7"/>
      <c r="I2" s="8">
        <v>1701.0</v>
      </c>
      <c r="J2" s="17"/>
      <c r="K2" s="28" t="s">
        <v>7</v>
      </c>
      <c r="M2" s="6" t="s">
        <v>8</v>
      </c>
      <c r="O2" s="10"/>
    </row>
    <row r="3">
      <c r="A3" s="11">
        <f>(   440.49)/2*1</f>
        <v>220.245</v>
      </c>
      <c r="B3" s="26"/>
      <c r="C3" s="11">
        <f>(644.22)/2*1</f>
        <v>322.11</v>
      </c>
      <c r="D3" s="24"/>
      <c r="E3" s="14">
        <f>402.5-(402.5*16%)</f>
        <v>338.1</v>
      </c>
      <c r="F3" s="9"/>
      <c r="G3" s="13">
        <v>179.93</v>
      </c>
      <c r="H3" s="9"/>
      <c r="I3" s="13">
        <f> 149.5-( 149.5*16%)</f>
        <v>125.58</v>
      </c>
      <c r="J3" s="9"/>
      <c r="K3" s="13">
        <f>305.9-(305.9*16%)</f>
        <v>256.956</v>
      </c>
      <c r="M3" s="13">
        <v>0.0</v>
      </c>
      <c r="O3" s="22"/>
    </row>
    <row r="4">
      <c r="A4" s="11">
        <f> 138-( 138*16%)</f>
        <v>115.92</v>
      </c>
      <c r="B4" s="12"/>
      <c r="C4" s="11">
        <f>167.32-(167.32*16%)</f>
        <v>140.5488</v>
      </c>
      <c r="D4" s="9"/>
      <c r="E4" s="14">
        <v>318.16</v>
      </c>
      <c r="F4" s="9"/>
      <c r="G4" s="13">
        <v>280.53</v>
      </c>
      <c r="H4" s="9"/>
      <c r="I4" s="13">
        <f>  138.32-(  138.32*16%)</f>
        <v>116.1888</v>
      </c>
      <c r="J4" s="9"/>
      <c r="K4" s="13">
        <f>334.3-(334.3*16%)</f>
        <v>280.812</v>
      </c>
      <c r="M4" s="13">
        <v>0.0</v>
      </c>
      <c r="O4" s="22"/>
    </row>
    <row r="5">
      <c r="A5" s="11">
        <f> 132.25-( 132.25*16%)</f>
        <v>111.09</v>
      </c>
      <c r="B5" s="12"/>
      <c r="C5" s="11">
        <f>  138.32-(  138.32*16%)</f>
        <v>116.1888</v>
      </c>
      <c r="D5" s="9"/>
      <c r="E5" s="14">
        <v>305.07</v>
      </c>
      <c r="F5" s="9"/>
      <c r="G5" s="13">
        <v>0.0</v>
      </c>
      <c r="H5" s="9"/>
      <c r="I5" s="13">
        <f>   156.97-(   156.97*16%)</f>
        <v>131.8548</v>
      </c>
      <c r="J5" s="9"/>
      <c r="K5" s="13">
        <f t="shared" ref="K5:K6" si="1">360.53-(360.53*16%)</f>
        <v>302.8452</v>
      </c>
      <c r="M5" s="13">
        <v>0.0</v>
      </c>
      <c r="O5" s="22"/>
    </row>
    <row r="6">
      <c r="A6" s="11">
        <f> 138-( 138*16%)</f>
        <v>115.92</v>
      </c>
      <c r="B6" s="11"/>
      <c r="C6" s="11">
        <f> 145.01-( 145.01*16%)</f>
        <v>121.8084</v>
      </c>
      <c r="D6" s="9"/>
      <c r="E6" s="14">
        <f>724.98-(724.98*16%)</f>
        <v>608.9832</v>
      </c>
      <c r="F6" s="9"/>
      <c r="G6" s="13">
        <v>0.0</v>
      </c>
      <c r="I6" s="13">
        <f>   513.49-(   513.49*16%)</f>
        <v>431.3316</v>
      </c>
      <c r="J6" s="10"/>
      <c r="K6" s="13">
        <f t="shared" si="1"/>
        <v>302.8452</v>
      </c>
      <c r="M6" s="13">
        <v>0.0</v>
      </c>
      <c r="O6" s="22"/>
    </row>
    <row r="7">
      <c r="A7" s="11">
        <f> 180-( 180*10%)</f>
        <v>162</v>
      </c>
      <c r="B7" s="11"/>
      <c r="C7" s="11">
        <f> 550.63-( 550.63*16%)</f>
        <v>462.5292</v>
      </c>
      <c r="D7" s="9"/>
      <c r="E7" s="14">
        <v>557.79</v>
      </c>
      <c r="F7" s="9"/>
      <c r="G7" s="13">
        <v>0.0</v>
      </c>
      <c r="H7" s="9"/>
      <c r="I7" s="13">
        <f>    181.12-(    181.12*16%)</f>
        <v>152.1408</v>
      </c>
      <c r="J7" s="9"/>
      <c r="K7" s="13">
        <f> 434.49-( 434.49*16%)</f>
        <v>364.9716</v>
      </c>
      <c r="M7" s="13">
        <v>0.0</v>
      </c>
      <c r="O7" s="22"/>
    </row>
    <row r="8">
      <c r="A8" s="11">
        <f> 469.78-( 469.78*10%)</f>
        <v>422.802</v>
      </c>
      <c r="B8" s="10"/>
      <c r="C8" s="11">
        <f> 977.34-( 977.34*16%)</f>
        <v>820.9656</v>
      </c>
      <c r="D8" s="9"/>
      <c r="E8" s="14">
        <f>( 1266.06)/2*1</f>
        <v>633.03</v>
      </c>
      <c r="F8" s="9"/>
      <c r="G8" s="13">
        <v>0.0</v>
      </c>
      <c r="H8" s="10"/>
      <c r="I8" s="13">
        <f>    758.62-(    758.62*16%)</f>
        <v>637.2408</v>
      </c>
      <c r="J8" s="9"/>
      <c r="K8" s="13">
        <v>151.3</v>
      </c>
      <c r="M8" s="13">
        <v>0.0</v>
      </c>
      <c r="O8" s="22"/>
    </row>
    <row r="9">
      <c r="A9" s="11">
        <f> 256.57-( 256.57*16%)</f>
        <v>215.5188</v>
      </c>
      <c r="B9" s="12"/>
      <c r="C9" s="11">
        <f> 390.04-( 390.04*16%)</f>
        <v>327.6336</v>
      </c>
      <c r="D9" s="9"/>
      <c r="E9" s="14">
        <v>0.0</v>
      </c>
      <c r="F9" s="9"/>
      <c r="G9" s="13">
        <v>0.0</v>
      </c>
      <c r="H9" s="36"/>
      <c r="I9" s="13">
        <f>    400-(    400*10%)</f>
        <v>360</v>
      </c>
      <c r="J9" s="9"/>
      <c r="K9" s="13">
        <v>170.11</v>
      </c>
      <c r="M9" s="13">
        <v>0.0</v>
      </c>
      <c r="O9" s="22"/>
    </row>
    <row r="10">
      <c r="A10" s="11">
        <f> 172.5-( 172.5*16%)</f>
        <v>144.9</v>
      </c>
      <c r="B10" s="12"/>
      <c r="C10" s="11">
        <f>167.32-(167.32*16%)</f>
        <v>140.5488</v>
      </c>
      <c r="D10" s="9"/>
      <c r="E10" s="14">
        <v>0.0</v>
      </c>
      <c r="F10" s="9"/>
      <c r="G10" s="13">
        <v>0.0</v>
      </c>
      <c r="H10" s="9"/>
      <c r="I10" s="13">
        <f>    267.72-(    267.72*16%)</f>
        <v>224.8848</v>
      </c>
      <c r="J10" s="9"/>
      <c r="K10" s="13">
        <f>(562.7)/2*1</f>
        <v>281.35</v>
      </c>
      <c r="M10" s="13">
        <v>0.0</v>
      </c>
      <c r="O10" s="22"/>
    </row>
    <row r="11">
      <c r="A11" s="25">
        <f> 349.6-( 349.6*16%)</f>
        <v>293.664</v>
      </c>
      <c r="B11" s="12"/>
      <c r="C11" s="11">
        <f>184-(184*16%)</f>
        <v>154.56</v>
      </c>
      <c r="D11" s="9"/>
      <c r="E11" s="14">
        <v>0.0</v>
      </c>
      <c r="F11" s="9"/>
      <c r="G11" s="13">
        <v>0.0</v>
      </c>
      <c r="H11" s="9"/>
      <c r="I11" s="13">
        <f>     1300.9-(     1300.9*16%)</f>
        <v>1092.756</v>
      </c>
      <c r="J11" s="9"/>
      <c r="K11" s="13">
        <v>0.0</v>
      </c>
      <c r="L11" s="13"/>
      <c r="M11" s="13">
        <v>0.0</v>
      </c>
      <c r="O11" s="22"/>
    </row>
    <row r="12">
      <c r="A12" s="11">
        <f> 191-( 191*16%)</f>
        <v>160.44</v>
      </c>
      <c r="B12" s="12"/>
      <c r="C12" s="11">
        <f>211.94-(211.94*16%)</f>
        <v>178.0296</v>
      </c>
      <c r="D12" s="9"/>
      <c r="E12" s="14">
        <v>0.0</v>
      </c>
      <c r="F12" s="9"/>
      <c r="G12" s="13">
        <v>0.0</v>
      </c>
      <c r="H12" s="10"/>
      <c r="I12" s="13">
        <f>      218.5-(      218.5*16%)</f>
        <v>183.54</v>
      </c>
      <c r="J12" s="9"/>
      <c r="K12" s="13">
        <v>0.0</v>
      </c>
      <c r="L12" s="13"/>
      <c r="M12" s="13">
        <v>0.0</v>
      </c>
      <c r="O12" s="22"/>
    </row>
    <row r="13">
      <c r="A13" s="11">
        <f> 172.5-( 172.5*16%)</f>
        <v>144.9</v>
      </c>
      <c r="B13" s="9"/>
      <c r="C13" s="11">
        <f>462.04-(462.04*16%)</f>
        <v>388.1136</v>
      </c>
      <c r="D13" s="9"/>
      <c r="E13" s="14">
        <v>0.0</v>
      </c>
      <c r="F13" s="9"/>
      <c r="G13" s="13">
        <v>0.0</v>
      </c>
      <c r="H13" s="9"/>
      <c r="I13" s="13">
        <f>184-(184*16%)</f>
        <v>154.56</v>
      </c>
      <c r="J13" s="9"/>
      <c r="K13" s="13">
        <v>0.0</v>
      </c>
      <c r="L13" s="13"/>
      <c r="M13" s="13">
        <v>0.0</v>
      </c>
      <c r="O13" s="22"/>
    </row>
    <row r="14">
      <c r="A14" s="11">
        <v>342.69</v>
      </c>
      <c r="B14" s="12"/>
      <c r="C14" s="11">
        <v>0.0</v>
      </c>
      <c r="D14" s="9"/>
      <c r="E14" s="14">
        <v>0.0</v>
      </c>
      <c r="F14" s="9"/>
      <c r="G14" s="13">
        <v>0.0</v>
      </c>
      <c r="H14" s="9"/>
      <c r="I14" s="13">
        <f> 180-( 180*10%)</f>
        <v>162</v>
      </c>
      <c r="J14" s="9"/>
      <c r="K14" s="13">
        <v>0.0</v>
      </c>
      <c r="L14" s="13"/>
      <c r="M14" s="13">
        <v>0.0</v>
      </c>
      <c r="O14" s="22"/>
    </row>
    <row r="15">
      <c r="A15" s="11">
        <f>207-(207*16%)</f>
        <v>173.88</v>
      </c>
      <c r="B15" s="12"/>
      <c r="C15" s="11">
        <v>0.0</v>
      </c>
      <c r="D15" s="9"/>
      <c r="E15" s="14">
        <v>0.0</v>
      </c>
      <c r="F15" s="9"/>
      <c r="G15" s="13">
        <v>0.0</v>
      </c>
      <c r="H15" s="9"/>
      <c r="I15" s="13">
        <f>      493.82-( 493.82*16%)</f>
        <v>414.8088</v>
      </c>
      <c r="J15" s="9"/>
      <c r="K15" s="13">
        <v>0.0</v>
      </c>
      <c r="L15" s="13"/>
      <c r="M15" s="13">
        <v>0.0</v>
      </c>
      <c r="O15" s="22"/>
    </row>
    <row r="16">
      <c r="A16" s="11">
        <f>323.5-(323.5*16%)</f>
        <v>271.74</v>
      </c>
      <c r="B16" s="12"/>
      <c r="C16" s="11">
        <v>0.0</v>
      </c>
      <c r="D16" s="9"/>
      <c r="E16" s="14">
        <v>0.0</v>
      </c>
      <c r="F16" s="9"/>
      <c r="G16" s="13">
        <v>0.0</v>
      </c>
      <c r="H16" s="12"/>
      <c r="I16" s="13">
        <f>      150.54-( 150.54*10%)</f>
        <v>135.486</v>
      </c>
      <c r="J16" s="9"/>
      <c r="K16" s="13">
        <v>0.0</v>
      </c>
      <c r="L16" s="13"/>
      <c r="M16" s="13">
        <v>0.0</v>
      </c>
      <c r="O16" s="22"/>
    </row>
    <row r="17">
      <c r="A17" s="11">
        <v>0.0</v>
      </c>
      <c r="B17" s="12"/>
      <c r="C17" s="11">
        <v>0.0</v>
      </c>
      <c r="D17" s="9"/>
      <c r="E17" s="14">
        <v>0.0</v>
      </c>
      <c r="F17" s="9"/>
      <c r="G17" s="13">
        <v>0.0</v>
      </c>
      <c r="H17" s="9"/>
      <c r="I17" s="13">
        <f>      260.93-( 260.93*16%)</f>
        <v>219.1812</v>
      </c>
      <c r="J17" s="9"/>
      <c r="K17" s="13">
        <v>0.0</v>
      </c>
      <c r="L17" s="13"/>
      <c r="M17" s="13">
        <v>0.0</v>
      </c>
      <c r="O17" s="22"/>
    </row>
    <row r="18">
      <c r="A18" s="11">
        <v>0.0</v>
      </c>
      <c r="B18" s="9"/>
      <c r="C18" s="11">
        <v>0.0</v>
      </c>
      <c r="D18" s="9"/>
      <c r="E18" s="14">
        <v>0.0</v>
      </c>
      <c r="F18" s="9"/>
      <c r="G18" s="13">
        <v>0.0</v>
      </c>
      <c r="H18" s="9"/>
      <c r="I18" s="13">
        <f> 283.45-(283.45*16%)</f>
        <v>238.098</v>
      </c>
      <c r="J18" s="9"/>
      <c r="K18" s="13">
        <v>0.0</v>
      </c>
      <c r="L18" s="13"/>
      <c r="M18" s="13">
        <v>0.0</v>
      </c>
      <c r="O18" s="22"/>
    </row>
    <row r="19">
      <c r="A19" s="11">
        <v>0.0</v>
      </c>
      <c r="B19" s="12"/>
      <c r="C19" s="11">
        <v>0.0</v>
      </c>
      <c r="D19" s="9"/>
      <c r="E19" s="14">
        <v>0.0</v>
      </c>
      <c r="F19" s="9"/>
      <c r="G19" s="13">
        <v>0.0</v>
      </c>
      <c r="H19" s="9"/>
      <c r="I19" s="13">
        <v>0.0</v>
      </c>
      <c r="J19" s="9"/>
      <c r="K19" s="13">
        <v>0.0</v>
      </c>
      <c r="L19" s="13"/>
      <c r="M19" s="13">
        <v>0.0</v>
      </c>
      <c r="O19" s="22"/>
    </row>
    <row r="20">
      <c r="A20" s="11">
        <v>0.0</v>
      </c>
      <c r="B20" s="12"/>
      <c r="C20" s="11">
        <v>0.0</v>
      </c>
      <c r="D20" s="9"/>
      <c r="E20" s="14">
        <v>0.0</v>
      </c>
      <c r="F20" s="9"/>
      <c r="G20" s="13">
        <v>0.0</v>
      </c>
      <c r="H20" s="9"/>
      <c r="I20" s="13">
        <v>0.0</v>
      </c>
      <c r="J20" s="9"/>
      <c r="K20" s="13">
        <v>0.0</v>
      </c>
      <c r="L20" s="13"/>
      <c r="M20" s="13">
        <v>0.0</v>
      </c>
      <c r="O20" s="22"/>
    </row>
    <row r="21">
      <c r="A21" s="11">
        <v>0.0</v>
      </c>
      <c r="B21" s="12"/>
      <c r="C21" s="11">
        <v>0.0</v>
      </c>
      <c r="D21" s="9"/>
      <c r="E21" s="14">
        <v>0.0</v>
      </c>
      <c r="F21" s="9"/>
      <c r="G21" s="13">
        <v>0.0</v>
      </c>
      <c r="H21" s="9"/>
      <c r="I21" s="13">
        <v>0.0</v>
      </c>
      <c r="J21" s="9"/>
      <c r="K21" s="13">
        <v>0.0</v>
      </c>
      <c r="L21" s="13"/>
      <c r="M21" s="13">
        <v>0.0</v>
      </c>
      <c r="O21" s="22"/>
    </row>
    <row r="22">
      <c r="A22" s="11">
        <v>0.0</v>
      </c>
      <c r="B22" s="9"/>
      <c r="C22" s="11">
        <v>0.0</v>
      </c>
      <c r="D22" s="9"/>
      <c r="E22" s="14">
        <v>0.0</v>
      </c>
      <c r="F22" s="9"/>
      <c r="G22" s="13">
        <v>0.0</v>
      </c>
      <c r="H22" s="9"/>
      <c r="I22" s="13">
        <v>0.0</v>
      </c>
      <c r="J22" s="9"/>
      <c r="K22" s="13">
        <v>0.0</v>
      </c>
      <c r="L22" s="13"/>
      <c r="M22" s="13">
        <v>0.0</v>
      </c>
      <c r="O22" s="22"/>
    </row>
    <row r="23">
      <c r="A23" s="11">
        <v>0.0</v>
      </c>
      <c r="B23" s="9"/>
      <c r="C23" s="11">
        <v>0.0</v>
      </c>
      <c r="D23" s="9"/>
      <c r="E23" s="14">
        <v>0.0</v>
      </c>
      <c r="F23" s="9"/>
      <c r="G23" s="13">
        <v>0.0</v>
      </c>
      <c r="H23" s="9"/>
      <c r="I23" s="13">
        <v>0.0</v>
      </c>
      <c r="J23" s="9"/>
      <c r="K23" s="13">
        <v>0.0</v>
      </c>
      <c r="L23" s="13"/>
      <c r="M23" s="13">
        <v>0.0</v>
      </c>
      <c r="O23" s="22"/>
    </row>
    <row r="24">
      <c r="A24" s="11">
        <v>0.0</v>
      </c>
      <c r="B24" s="9"/>
      <c r="C24" s="11">
        <v>0.0</v>
      </c>
      <c r="D24" s="9"/>
      <c r="E24" s="14">
        <v>0.0</v>
      </c>
      <c r="F24" s="9"/>
      <c r="G24" s="13">
        <v>0.0</v>
      </c>
      <c r="H24" s="9"/>
      <c r="I24" s="13">
        <v>0.0</v>
      </c>
      <c r="J24" s="9"/>
      <c r="K24" s="13">
        <v>0.0</v>
      </c>
      <c r="L24" s="13"/>
      <c r="M24" s="13">
        <v>0.0</v>
      </c>
      <c r="O24" s="22"/>
    </row>
    <row r="25">
      <c r="A25" s="11">
        <v>0.0</v>
      </c>
      <c r="B25" s="9"/>
      <c r="C25" s="11">
        <v>0.0</v>
      </c>
      <c r="D25" s="9"/>
      <c r="E25" s="14">
        <v>0.0</v>
      </c>
      <c r="F25" s="9"/>
      <c r="G25" s="13">
        <v>0.0</v>
      </c>
      <c r="H25" s="9"/>
      <c r="I25" s="13">
        <v>0.0</v>
      </c>
      <c r="J25" s="9"/>
      <c r="K25" s="13">
        <v>0.0</v>
      </c>
      <c r="L25" s="13"/>
      <c r="M25" s="13">
        <v>0.0</v>
      </c>
      <c r="O25" s="22"/>
    </row>
    <row r="26">
      <c r="A26" s="11">
        <v>0.0</v>
      </c>
      <c r="B26" s="9"/>
      <c r="C26" s="11">
        <v>0.0</v>
      </c>
      <c r="D26" s="9"/>
      <c r="E26" s="14">
        <v>0.0</v>
      </c>
      <c r="F26" s="9"/>
      <c r="G26" s="13">
        <v>0.0</v>
      </c>
      <c r="H26" s="9"/>
      <c r="I26" s="13">
        <v>0.0</v>
      </c>
      <c r="J26" s="9"/>
      <c r="K26" s="13">
        <v>0.0</v>
      </c>
      <c r="L26" s="13"/>
      <c r="M26" s="13">
        <v>0.0</v>
      </c>
      <c r="O26" s="22"/>
    </row>
    <row r="27">
      <c r="A27" s="11">
        <v>0.0</v>
      </c>
      <c r="B27" s="9"/>
      <c r="C27" s="11">
        <v>0.0</v>
      </c>
      <c r="D27" s="9"/>
      <c r="E27" s="14">
        <v>0.0</v>
      </c>
      <c r="F27" s="9"/>
      <c r="G27" s="13">
        <v>0.0</v>
      </c>
      <c r="H27" s="9"/>
      <c r="I27" s="13">
        <v>0.0</v>
      </c>
      <c r="J27" s="9"/>
      <c r="K27" s="13">
        <v>0.0</v>
      </c>
      <c r="L27" s="13"/>
      <c r="M27" s="13">
        <v>0.0</v>
      </c>
      <c r="O27" s="22"/>
    </row>
    <row r="28">
      <c r="A28" s="11">
        <v>0.0</v>
      </c>
      <c r="B28" s="9"/>
      <c r="C28" s="11">
        <v>0.0</v>
      </c>
      <c r="D28" s="9"/>
      <c r="E28" s="14">
        <v>0.0</v>
      </c>
      <c r="F28" s="9"/>
      <c r="G28" s="13">
        <v>0.0</v>
      </c>
      <c r="H28" s="9"/>
      <c r="I28" s="13">
        <v>0.0</v>
      </c>
      <c r="J28" s="9"/>
      <c r="K28" s="13">
        <v>0.0</v>
      </c>
      <c r="L28" s="13"/>
      <c r="M28" s="13">
        <v>0.0</v>
      </c>
      <c r="O28" s="22"/>
    </row>
    <row r="29">
      <c r="A29" s="11">
        <v>0.0</v>
      </c>
      <c r="B29" s="9"/>
      <c r="C29" s="11">
        <v>0.0</v>
      </c>
      <c r="D29" s="9"/>
      <c r="E29" s="14">
        <v>0.0</v>
      </c>
      <c r="F29" s="9"/>
      <c r="G29" s="13">
        <v>0.0</v>
      </c>
      <c r="H29" s="9"/>
      <c r="I29" s="13">
        <v>0.0</v>
      </c>
      <c r="J29" s="9"/>
      <c r="K29" s="13">
        <v>0.0</v>
      </c>
      <c r="L29" s="13"/>
      <c r="M29" s="13">
        <v>0.0</v>
      </c>
      <c r="O29" s="22"/>
    </row>
    <row r="30">
      <c r="A30" s="16">
        <f>SUM(A3:A29)</f>
        <v>2895.7098</v>
      </c>
      <c r="B30" s="16"/>
      <c r="C30" s="16">
        <f>SUM(C3:C29)</f>
        <v>3173.0364</v>
      </c>
      <c r="D30" s="16"/>
      <c r="E30" s="16">
        <f>SUM(E3:E29)+A30+C30</f>
        <v>8829.8794</v>
      </c>
      <c r="F30" s="16"/>
      <c r="G30" s="16">
        <f>SUM(G3:G29)</f>
        <v>460.46</v>
      </c>
      <c r="H30" s="16"/>
      <c r="I30" s="16">
        <f>SUM(I3:I29)</f>
        <v>4779.6516</v>
      </c>
      <c r="J30" s="16"/>
      <c r="K30" s="16">
        <f>SUM(K3:K29)</f>
        <v>2111.19</v>
      </c>
      <c r="L30" s="16"/>
      <c r="M30" s="16">
        <f>SUM(M3:M29)+I30+K30</f>
        <v>6890.8416</v>
      </c>
      <c r="O30" s="31"/>
    </row>
    <row r="31">
      <c r="A31" s="8" t="s">
        <v>4</v>
      </c>
      <c r="B31" s="18">
        <f>A30+C30+E30+G30+I30+K30+M30</f>
        <v>29140.7688</v>
      </c>
    </row>
    <row r="32">
      <c r="A32" s="33"/>
      <c r="B32" s="33"/>
      <c r="C32" s="33"/>
      <c r="D32" s="33"/>
      <c r="E32" s="33">
        <f>(E30)*15%</f>
        <v>1324.48191</v>
      </c>
      <c r="F32" s="33"/>
      <c r="G32" s="33">
        <f>(G30)*15%</f>
        <v>69.069</v>
      </c>
      <c r="H32" s="33"/>
      <c r="I32" s="33"/>
      <c r="J32" s="33"/>
      <c r="K32" s="33"/>
      <c r="L32" s="33"/>
      <c r="M32" s="33">
        <f>(M30)*15%</f>
        <v>1033.62624</v>
      </c>
    </row>
    <row r="35">
      <c r="E35" s="20" t="s">
        <v>2</v>
      </c>
      <c r="F35" s="37">
        <f>B31</f>
        <v>29140.7688</v>
      </c>
      <c r="G35" s="20">
        <v>29140.77</v>
      </c>
    </row>
    <row r="36">
      <c r="E36" s="20" t="s">
        <v>3</v>
      </c>
      <c r="F36" s="22">
        <f>A32+C32+E32+G32+I32+K32+M32</f>
        <v>2427.17715</v>
      </c>
      <c r="G36" s="20">
        <v>2427.18</v>
      </c>
    </row>
  </sheetData>
  <mergeCells count="2">
    <mergeCell ref="A1:M1"/>
    <mergeCell ref="B31:K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" t="s">
        <v>9</v>
      </c>
      <c r="B2" s="5"/>
      <c r="C2" s="6" t="s">
        <v>10</v>
      </c>
      <c r="D2" s="7"/>
      <c r="E2" s="6" t="s">
        <v>11</v>
      </c>
      <c r="F2" s="7"/>
      <c r="G2" s="8"/>
      <c r="H2" s="17"/>
      <c r="I2" s="28"/>
      <c r="J2" s="17"/>
      <c r="K2" s="28"/>
      <c r="M2" s="10"/>
      <c r="O2" s="10"/>
    </row>
    <row r="3">
      <c r="A3" s="11">
        <f>(579.6)/2*1</f>
        <v>289.8</v>
      </c>
      <c r="B3" s="26"/>
      <c r="C3" s="11">
        <f>(7065)/31*17</f>
        <v>3874.354839</v>
      </c>
      <c r="D3" s="24"/>
      <c r="E3" s="14">
        <f>417.2-(417.2*16%)</f>
        <v>350.448</v>
      </c>
      <c r="F3" s="14"/>
      <c r="G3" s="13"/>
      <c r="H3" s="9"/>
      <c r="I3" s="13"/>
      <c r="J3" s="9"/>
      <c r="K3" s="13"/>
      <c r="M3" s="22"/>
      <c r="O3" s="22"/>
    </row>
    <row r="4">
      <c r="A4" s="11">
        <f>467.39-(467.39*16%)</f>
        <v>392.6076</v>
      </c>
      <c r="B4" s="12"/>
      <c r="C4" s="11">
        <f>(6930)/29*15</f>
        <v>3584.482759</v>
      </c>
      <c r="D4" s="9"/>
      <c r="E4" s="14">
        <v>708.28</v>
      </c>
      <c r="F4" s="14"/>
      <c r="G4" s="13"/>
      <c r="H4" s="9"/>
      <c r="I4" s="13"/>
      <c r="J4" s="9"/>
      <c r="K4" s="13"/>
      <c r="M4" s="22"/>
      <c r="O4" s="22"/>
    </row>
    <row r="5">
      <c r="A5" s="11">
        <f t="shared" ref="A5:A6" si="1">172.5-(172.5*16%)</f>
        <v>144.9</v>
      </c>
      <c r="B5" s="12"/>
      <c r="C5" s="11">
        <v>0.0</v>
      </c>
      <c r="D5" s="9"/>
      <c r="E5" s="14">
        <f t="shared" ref="E5:E6" si="2">172.5-(172.5*16%)</f>
        <v>144.9</v>
      </c>
      <c r="F5" s="9"/>
      <c r="G5" s="13"/>
      <c r="H5" s="9"/>
      <c r="I5" s="13"/>
      <c r="J5" s="9"/>
      <c r="K5" s="13"/>
      <c r="M5" s="22"/>
      <c r="O5" s="22"/>
    </row>
    <row r="6">
      <c r="A6" s="11">
        <f t="shared" si="1"/>
        <v>144.9</v>
      </c>
      <c r="B6" s="11"/>
      <c r="C6" s="11">
        <v>0.0</v>
      </c>
      <c r="D6" s="9"/>
      <c r="E6" s="14">
        <f t="shared" si="2"/>
        <v>144.9</v>
      </c>
      <c r="F6" s="9"/>
      <c r="G6" s="13"/>
      <c r="H6" s="9"/>
      <c r="I6" s="13"/>
      <c r="J6" s="9"/>
      <c r="K6" s="13"/>
      <c r="M6" s="22"/>
      <c r="O6" s="22"/>
    </row>
    <row r="7">
      <c r="A7" s="11">
        <f>184-(184*16%)</f>
        <v>154.56</v>
      </c>
      <c r="B7" s="11"/>
      <c r="C7" s="11">
        <v>0.0</v>
      </c>
      <c r="D7" s="9"/>
      <c r="E7" s="14">
        <v>151.3</v>
      </c>
      <c r="F7" s="9"/>
      <c r="G7" s="13"/>
      <c r="H7" s="9"/>
      <c r="I7" s="13"/>
      <c r="J7" s="9"/>
      <c r="K7" s="13"/>
      <c r="M7" s="22"/>
      <c r="O7" s="22"/>
    </row>
    <row r="8">
      <c r="A8" s="11">
        <f>300-(300*10%)</f>
        <v>270</v>
      </c>
      <c r="B8" s="9"/>
      <c r="C8" s="11">
        <v>0.0</v>
      </c>
      <c r="D8" s="9"/>
      <c r="E8" s="14">
        <f> 670.3-( 670.3*10%)</f>
        <v>603.27</v>
      </c>
      <c r="F8" s="9"/>
      <c r="G8" s="13"/>
      <c r="H8" s="10"/>
      <c r="I8" s="13"/>
      <c r="J8" s="9"/>
      <c r="K8" s="13"/>
      <c r="M8" s="22"/>
      <c r="O8" s="22"/>
    </row>
    <row r="9">
      <c r="A9" s="11">
        <f> 254.33-( 254.33*16%)</f>
        <v>213.6372</v>
      </c>
      <c r="B9" s="12"/>
      <c r="C9" s="11">
        <v>0.0</v>
      </c>
      <c r="D9" s="9"/>
      <c r="E9" s="14">
        <v>179.93</v>
      </c>
      <c r="F9" s="9"/>
      <c r="G9" s="13"/>
      <c r="H9" s="36"/>
      <c r="I9" s="13"/>
      <c r="J9" s="9"/>
      <c r="K9" s="13"/>
      <c r="M9" s="22"/>
      <c r="O9" s="22"/>
    </row>
    <row r="10">
      <c r="A10" s="11">
        <f> 200.79-( 200.79*16%)</f>
        <v>168.6636</v>
      </c>
      <c r="B10" s="12"/>
      <c r="C10" s="11">
        <v>0.0</v>
      </c>
      <c r="D10" s="9"/>
      <c r="E10" s="14">
        <f>195.5-(195.5*16%)</f>
        <v>164.22</v>
      </c>
      <c r="F10" s="9"/>
      <c r="G10" s="13"/>
      <c r="H10" s="9"/>
      <c r="I10" s="13"/>
      <c r="J10" s="9"/>
      <c r="K10" s="13"/>
      <c r="M10" s="22"/>
      <c r="O10" s="22"/>
    </row>
    <row r="11">
      <c r="A11" s="11">
        <f> 218.5-( 218.5*16%)</f>
        <v>183.54</v>
      </c>
      <c r="B11" s="12"/>
      <c r="C11" s="11">
        <v>0.0</v>
      </c>
      <c r="D11" s="9"/>
      <c r="E11" s="14">
        <f>897-(897*16%)</f>
        <v>753.48</v>
      </c>
      <c r="F11" s="9"/>
      <c r="G11" s="13"/>
      <c r="H11" s="9"/>
      <c r="I11" s="13"/>
      <c r="J11" s="9"/>
      <c r="K11" s="13"/>
      <c r="M11" s="22"/>
      <c r="O11" s="22"/>
    </row>
    <row r="12">
      <c r="A12" s="11">
        <f> 234.26-( 234.26*16%)</f>
        <v>196.7784</v>
      </c>
      <c r="B12" s="12"/>
      <c r="C12" s="11">
        <v>0.0</v>
      </c>
      <c r="D12" s="9"/>
      <c r="E12" s="14">
        <f> 435.05-( 435.05*16%)</f>
        <v>365.442</v>
      </c>
      <c r="F12" s="9"/>
      <c r="G12" s="13"/>
      <c r="H12" s="10"/>
      <c r="I12" s="13"/>
      <c r="J12" s="9"/>
      <c r="K12" s="13"/>
      <c r="M12" s="22"/>
      <c r="O12" s="22"/>
    </row>
    <row r="13">
      <c r="A13" s="11">
        <f>897-(897*16%)</f>
        <v>753.48</v>
      </c>
      <c r="B13" s="9"/>
      <c r="C13" s="11">
        <v>0.0</v>
      </c>
      <c r="D13" s="9"/>
      <c r="E13" s="14">
        <v>340.23</v>
      </c>
      <c r="F13" s="9"/>
      <c r="G13" s="13"/>
      <c r="H13" s="9"/>
      <c r="I13" s="13"/>
      <c r="J13" s="9"/>
      <c r="K13" s="13"/>
      <c r="M13" s="22"/>
      <c r="O13" s="22"/>
    </row>
    <row r="14">
      <c r="A14" s="11">
        <f>  310.5-(  310.5*16%)</f>
        <v>260.82</v>
      </c>
      <c r="B14" s="12"/>
      <c r="C14" s="11">
        <v>0.0</v>
      </c>
      <c r="D14" s="9"/>
      <c r="E14" s="14">
        <f>323.5-(323.5*16%)</f>
        <v>271.74</v>
      </c>
      <c r="F14" s="9"/>
      <c r="G14" s="13"/>
      <c r="H14" s="9"/>
      <c r="I14" s="13"/>
      <c r="J14" s="9"/>
      <c r="K14" s="13"/>
      <c r="M14" s="22"/>
      <c r="O14" s="22"/>
    </row>
    <row r="15">
      <c r="A15" s="11">
        <f>  345-(  345*16%)</f>
        <v>289.8</v>
      </c>
      <c r="B15" s="12"/>
      <c r="C15" s="11">
        <v>0.0</v>
      </c>
      <c r="D15" s="9"/>
      <c r="E15" s="14">
        <v>179.93</v>
      </c>
      <c r="F15" s="9"/>
      <c r="G15" s="13"/>
      <c r="H15" s="9"/>
      <c r="I15" s="13"/>
      <c r="J15" s="9"/>
      <c r="K15" s="13"/>
      <c r="M15" s="22"/>
      <c r="O15" s="22"/>
    </row>
    <row r="16">
      <c r="A16" s="11">
        <f>   333.5-(   333.5*16%)</f>
        <v>280.14</v>
      </c>
      <c r="B16" s="12"/>
      <c r="C16" s="11">
        <v>0.0</v>
      </c>
      <c r="D16" s="9"/>
      <c r="E16" s="14">
        <v>189.74</v>
      </c>
      <c r="F16" s="9"/>
      <c r="G16" s="13"/>
      <c r="H16" s="9"/>
      <c r="I16" s="13"/>
      <c r="J16" s="9"/>
      <c r="K16" s="13"/>
      <c r="M16" s="22"/>
      <c r="O16" s="22"/>
    </row>
    <row r="17">
      <c r="A17" s="11">
        <f>   207-(   207*16%)</f>
        <v>173.88</v>
      </c>
      <c r="B17" s="12"/>
      <c r="C17" s="11">
        <v>0.0</v>
      </c>
      <c r="D17" s="9"/>
      <c r="E17" s="14">
        <v>170.11</v>
      </c>
      <c r="F17" s="9"/>
      <c r="G17" s="13"/>
      <c r="H17" s="9"/>
      <c r="I17" s="13"/>
      <c r="J17" s="9"/>
      <c r="K17" s="13"/>
      <c r="M17" s="22"/>
      <c r="O17" s="22"/>
    </row>
    <row r="18">
      <c r="A18" s="11">
        <f>   260-(   260*10%)</f>
        <v>234</v>
      </c>
      <c r="B18" s="9"/>
      <c r="C18" s="11">
        <v>0.0</v>
      </c>
      <c r="D18" s="9"/>
      <c r="E18" s="14">
        <f> 211.95-( 211.95*16%)</f>
        <v>178.038</v>
      </c>
      <c r="F18" s="9"/>
      <c r="G18" s="13"/>
      <c r="H18" s="9"/>
      <c r="I18" s="13"/>
      <c r="J18" s="9"/>
      <c r="K18" s="13"/>
      <c r="M18" s="22"/>
      <c r="O18" s="22"/>
    </row>
    <row r="19">
      <c r="A19" s="11">
        <f>   207-(   207*16%)</f>
        <v>173.88</v>
      </c>
      <c r="B19" s="12"/>
      <c r="C19" s="11">
        <v>0.0</v>
      </c>
      <c r="D19" s="9"/>
      <c r="E19" s="14">
        <f> 241.5-( 241.5*16%)</f>
        <v>202.86</v>
      </c>
      <c r="F19" s="9"/>
      <c r="G19" s="13"/>
      <c r="H19" s="9"/>
      <c r="I19" s="13"/>
      <c r="J19" s="9"/>
      <c r="K19" s="13"/>
      <c r="M19" s="22"/>
      <c r="O19" s="22"/>
    </row>
    <row r="20">
      <c r="A20" s="11">
        <f>   264.5-(   264.5*16%)</f>
        <v>222.18</v>
      </c>
      <c r="B20" s="12"/>
      <c r="C20" s="11">
        <v>0.0</v>
      </c>
      <c r="D20" s="9"/>
      <c r="E20" s="14">
        <v>328.79</v>
      </c>
      <c r="F20" s="9"/>
      <c r="G20" s="13"/>
      <c r="H20" s="9"/>
      <c r="I20" s="13"/>
      <c r="J20" s="9"/>
      <c r="K20" s="13"/>
      <c r="M20" s="22"/>
      <c r="O20" s="22"/>
    </row>
    <row r="21">
      <c r="A21" s="11">
        <f>   223.1-(   223.1*16%)</f>
        <v>187.404</v>
      </c>
      <c r="B21" s="12"/>
      <c r="C21" s="11">
        <v>0.0</v>
      </c>
      <c r="D21" s="9"/>
      <c r="E21" s="14">
        <f>   223.1-(   223.1*16%)</f>
        <v>187.404</v>
      </c>
      <c r="F21" s="9"/>
      <c r="G21" s="13"/>
      <c r="H21" s="9"/>
      <c r="I21" s="13"/>
      <c r="J21" s="9"/>
      <c r="K21" s="13"/>
      <c r="M21" s="22"/>
      <c r="O21" s="22"/>
    </row>
    <row r="22">
      <c r="A22" s="11">
        <f> 241.5-( 241.5*16%)</f>
        <v>202.86</v>
      </c>
      <c r="B22" s="9"/>
      <c r="C22" s="11">
        <v>0.0</v>
      </c>
      <c r="D22" s="9"/>
      <c r="E22" s="14">
        <f>994.18-(994.18*16%)</f>
        <v>835.1112</v>
      </c>
      <c r="F22" s="9"/>
      <c r="G22" s="13"/>
      <c r="H22" s="9"/>
      <c r="I22" s="13"/>
      <c r="J22" s="9"/>
      <c r="K22" s="13"/>
      <c r="M22" s="22"/>
      <c r="O22" s="22"/>
    </row>
    <row r="23">
      <c r="A23" s="11">
        <f>   223.1-(   223.1*16%)</f>
        <v>187.404</v>
      </c>
      <c r="B23" s="9"/>
      <c r="C23" s="11">
        <v>0.0</v>
      </c>
      <c r="D23" s="9"/>
      <c r="E23" s="14">
        <f>457.36-(457.36*16%)</f>
        <v>384.1824</v>
      </c>
      <c r="F23" s="9"/>
      <c r="G23" s="13"/>
      <c r="H23" s="9"/>
      <c r="I23" s="13"/>
      <c r="J23" s="9"/>
      <c r="K23" s="13"/>
      <c r="M23" s="22"/>
      <c r="O23" s="22"/>
    </row>
    <row r="24">
      <c r="A24" s="11">
        <f>  (767.46)/2*1</f>
        <v>383.73</v>
      </c>
      <c r="B24" s="10"/>
      <c r="C24" s="11">
        <v>0.0</v>
      </c>
      <c r="D24" s="9"/>
      <c r="E24" s="14">
        <f>341.34-(341.34*16%)</f>
        <v>286.7256</v>
      </c>
      <c r="F24" s="9"/>
      <c r="G24" s="13"/>
      <c r="H24" s="9"/>
      <c r="I24" s="13"/>
      <c r="J24" s="9"/>
      <c r="K24" s="13"/>
      <c r="M24" s="22"/>
      <c r="O24" s="22"/>
    </row>
    <row r="25">
      <c r="A25" s="11">
        <v>0.0</v>
      </c>
      <c r="B25" s="9"/>
      <c r="C25" s="11">
        <v>0.0</v>
      </c>
      <c r="D25" s="9"/>
      <c r="E25" s="14">
        <v>0.0</v>
      </c>
      <c r="F25" s="9"/>
      <c r="G25" s="13"/>
      <c r="H25" s="9"/>
      <c r="I25" s="13"/>
      <c r="J25" s="9"/>
      <c r="K25" s="13"/>
      <c r="M25" s="22"/>
      <c r="O25" s="22"/>
    </row>
    <row r="26">
      <c r="A26" s="11">
        <v>0.0</v>
      </c>
      <c r="B26" s="9"/>
      <c r="C26" s="11">
        <v>0.0</v>
      </c>
      <c r="D26" s="9"/>
      <c r="E26" s="14">
        <v>0.0</v>
      </c>
      <c r="F26" s="9"/>
      <c r="G26" s="13"/>
      <c r="H26" s="9"/>
      <c r="I26" s="13"/>
      <c r="J26" s="9"/>
      <c r="K26" s="13"/>
      <c r="M26" s="22"/>
      <c r="O26" s="22"/>
    </row>
    <row r="27">
      <c r="A27" s="11">
        <v>0.0</v>
      </c>
      <c r="B27" s="9"/>
      <c r="C27" s="11">
        <v>0.0</v>
      </c>
      <c r="D27" s="9"/>
      <c r="E27" s="14">
        <v>0.0</v>
      </c>
      <c r="F27" s="9"/>
      <c r="G27" s="13"/>
      <c r="H27" s="9"/>
      <c r="I27" s="13"/>
      <c r="J27" s="9"/>
      <c r="K27" s="13"/>
      <c r="M27" s="22"/>
      <c r="O27" s="22"/>
    </row>
    <row r="28">
      <c r="A28" s="11">
        <v>0.0</v>
      </c>
      <c r="B28" s="9"/>
      <c r="C28" s="11">
        <v>0.0</v>
      </c>
      <c r="D28" s="9"/>
      <c r="E28" s="14">
        <v>0.0</v>
      </c>
      <c r="F28" s="9"/>
      <c r="G28" s="13"/>
      <c r="H28" s="9"/>
      <c r="I28" s="13"/>
      <c r="J28" s="9"/>
      <c r="K28" s="13"/>
      <c r="M28" s="22"/>
      <c r="O28" s="22"/>
    </row>
    <row r="29">
      <c r="A29" s="11">
        <v>0.0</v>
      </c>
      <c r="B29" s="9"/>
      <c r="C29" s="11">
        <v>0.0</v>
      </c>
      <c r="D29" s="9"/>
      <c r="E29" s="14">
        <v>0.0</v>
      </c>
      <c r="F29" s="9"/>
      <c r="G29" s="13"/>
      <c r="H29" s="9"/>
      <c r="I29" s="13"/>
      <c r="J29" s="9"/>
      <c r="K29" s="13"/>
      <c r="M29" s="22"/>
      <c r="O29" s="22"/>
    </row>
    <row r="30">
      <c r="A30" s="16">
        <f>SUM(A3:A29)</f>
        <v>5508.9648</v>
      </c>
      <c r="B30" s="16"/>
      <c r="C30" s="16">
        <f>SUM(C3:C29)</f>
        <v>7458.837597</v>
      </c>
      <c r="D30" s="16"/>
      <c r="E30" s="16">
        <f>SUM(E3:E29)</f>
        <v>7121.0312</v>
      </c>
      <c r="F30" s="16"/>
      <c r="G30" s="16"/>
      <c r="H30" s="9"/>
      <c r="I30" s="16"/>
      <c r="J30" s="9"/>
      <c r="K30" s="16"/>
      <c r="M30" s="31"/>
      <c r="O30" s="31"/>
    </row>
    <row r="31">
      <c r="A31" s="8" t="s">
        <v>4</v>
      </c>
      <c r="B31" s="18">
        <f>A30+C30+E30+G30+I30+K30</f>
        <v>20088.8336</v>
      </c>
    </row>
    <row r="32">
      <c r="A32" s="33">
        <f>(A30-3943.15)*18%</f>
        <v>281.846664</v>
      </c>
      <c r="B32" s="33"/>
      <c r="C32" s="33">
        <f>(C30-2320.83)*18%</f>
        <v>924.8413675</v>
      </c>
      <c r="D32" s="33"/>
      <c r="E32" s="33">
        <f>(E30-2376.17)*14%</f>
        <v>664.280568</v>
      </c>
    </row>
    <row r="35">
      <c r="E35" s="20" t="s">
        <v>2</v>
      </c>
      <c r="F35" s="21">
        <f>B31</f>
        <v>20088.8336</v>
      </c>
      <c r="G35" s="20">
        <v>20088.83</v>
      </c>
    </row>
    <row r="36">
      <c r="E36" s="20" t="s">
        <v>3</v>
      </c>
      <c r="F36" s="22">
        <f>A32+C32+E32+G32+I32+K32</f>
        <v>1870.9686</v>
      </c>
      <c r="G36" s="20">
        <v>1870.97</v>
      </c>
    </row>
    <row r="37">
      <c r="F37" s="22"/>
    </row>
  </sheetData>
  <mergeCells count="2">
    <mergeCell ref="A1:K1"/>
    <mergeCell ref="B31:K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27.88"/>
    <col customWidth="1" min="5" max="5" width="18.5"/>
    <col customWidth="1" min="6" max="6" width="15.63"/>
    <col customWidth="1" min="13" max="13" width="14.25"/>
    <col customWidth="1" min="15" max="15" width="14.25"/>
  </cols>
  <sheetData>
    <row r="1">
      <c r="A1" s="38" t="s">
        <v>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5" t="s">
        <v>13</v>
      </c>
      <c r="B2" s="5"/>
      <c r="C2" s="5" t="s">
        <v>14</v>
      </c>
      <c r="D2" s="5"/>
      <c r="E2" s="8" t="s">
        <v>15</v>
      </c>
      <c r="F2" s="7"/>
      <c r="G2" s="8" t="s">
        <v>16</v>
      </c>
      <c r="H2" s="7"/>
      <c r="I2" s="8" t="s">
        <v>17</v>
      </c>
      <c r="J2" s="7"/>
      <c r="K2" s="8" t="s">
        <v>18</v>
      </c>
      <c r="L2" s="7"/>
      <c r="M2" s="8" t="s">
        <v>19</v>
      </c>
      <c r="N2" s="7"/>
      <c r="O2" s="8" t="s">
        <v>20</v>
      </c>
      <c r="P2" s="7"/>
      <c r="Q2" s="8" t="s">
        <v>21</v>
      </c>
      <c r="R2" s="30"/>
    </row>
    <row r="3">
      <c r="A3" s="36">
        <v>53664.01873333333</v>
      </c>
      <c r="B3" s="10" t="s">
        <v>2</v>
      </c>
      <c r="C3" s="36">
        <v>10846.412400000001</v>
      </c>
      <c r="D3" s="10" t="s">
        <v>2</v>
      </c>
      <c r="E3" s="13">
        <v>3905.32</v>
      </c>
      <c r="F3" s="10" t="s">
        <v>2</v>
      </c>
      <c r="G3" s="36">
        <v>6107.6026999999995</v>
      </c>
      <c r="H3" s="10" t="s">
        <v>2</v>
      </c>
      <c r="I3" s="36">
        <v>2417.6069</v>
      </c>
      <c r="J3" s="10" t="s">
        <v>2</v>
      </c>
      <c r="K3" s="36">
        <v>13995.067600000002</v>
      </c>
      <c r="L3" s="10" t="s">
        <v>2</v>
      </c>
      <c r="M3" s="36">
        <v>9228.074400000001</v>
      </c>
      <c r="N3" s="10" t="s">
        <v>2</v>
      </c>
      <c r="O3" s="13">
        <v>29140.7688</v>
      </c>
      <c r="P3" s="10" t="s">
        <v>2</v>
      </c>
      <c r="Q3" s="13">
        <v>20088.83</v>
      </c>
      <c r="R3" s="10" t="s">
        <v>2</v>
      </c>
    </row>
    <row r="4">
      <c r="A4" s="36">
        <v>5492.09231</v>
      </c>
      <c r="B4" s="10" t="s">
        <v>3</v>
      </c>
      <c r="C4" s="13">
        <v>699.04</v>
      </c>
      <c r="D4" s="10" t="s">
        <v>3</v>
      </c>
      <c r="E4" s="13">
        <v>266.34</v>
      </c>
      <c r="F4" s="10" t="s">
        <v>3</v>
      </c>
      <c r="G4" s="36">
        <v>643.9655589999999</v>
      </c>
      <c r="H4" s="10" t="s">
        <v>3</v>
      </c>
      <c r="I4" s="13">
        <v>228.65</v>
      </c>
      <c r="J4" s="10" t="s">
        <v>3</v>
      </c>
      <c r="K4" s="36">
        <v>1507.8145679999998</v>
      </c>
      <c r="L4" s="10" t="s">
        <v>3</v>
      </c>
      <c r="M4" s="36">
        <v>886.99488</v>
      </c>
      <c r="N4" s="10" t="s">
        <v>3</v>
      </c>
      <c r="O4" s="13">
        <v>2427.18</v>
      </c>
      <c r="P4" s="10" t="s">
        <v>3</v>
      </c>
      <c r="Q4" s="13">
        <v>1870.97</v>
      </c>
      <c r="R4" s="10" t="s">
        <v>3</v>
      </c>
    </row>
    <row r="5">
      <c r="A5" s="13">
        <v>0.0</v>
      </c>
      <c r="B5" s="12"/>
      <c r="C5" s="13">
        <v>0.0</v>
      </c>
      <c r="D5" s="13"/>
      <c r="E5" s="13">
        <v>0.0</v>
      </c>
      <c r="F5" s="9"/>
      <c r="G5" s="13">
        <v>0.0</v>
      </c>
      <c r="H5" s="9"/>
      <c r="I5" s="13">
        <v>0.0</v>
      </c>
      <c r="J5" s="9"/>
      <c r="K5" s="13">
        <v>0.0</v>
      </c>
      <c r="L5" s="9"/>
      <c r="M5" s="13">
        <v>0.0</v>
      </c>
      <c r="N5" s="9"/>
      <c r="O5" s="13">
        <v>0.0</v>
      </c>
      <c r="P5" s="9"/>
      <c r="Q5" s="13">
        <v>0.0</v>
      </c>
    </row>
    <row r="6">
      <c r="A6" s="13">
        <v>0.0</v>
      </c>
      <c r="B6" s="9"/>
      <c r="C6" s="13">
        <v>0.0</v>
      </c>
      <c r="D6" s="13"/>
      <c r="E6" s="13">
        <v>0.0</v>
      </c>
      <c r="F6" s="17"/>
      <c r="G6" s="13">
        <v>0.0</v>
      </c>
      <c r="H6" s="16"/>
      <c r="I6" s="13">
        <v>0.0</v>
      </c>
      <c r="J6" s="9"/>
      <c r="K6" s="13">
        <v>0.0</v>
      </c>
      <c r="L6" s="9"/>
      <c r="M6" s="39">
        <v>0.0</v>
      </c>
      <c r="N6" s="9"/>
      <c r="O6" s="13">
        <v>0.0</v>
      </c>
      <c r="P6" s="9"/>
      <c r="Q6" s="13">
        <v>0.0</v>
      </c>
    </row>
    <row r="7">
      <c r="A7" s="34" t="s">
        <v>22</v>
      </c>
      <c r="B7" s="35">
        <f t="shared" ref="B7:B8" si="1">A3+C3+E3+G3+I3+K3+M3+O3+Q3</f>
        <v>149393.7015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</row>
    <row r="8">
      <c r="A8" s="34" t="s">
        <v>23</v>
      </c>
      <c r="B8" s="35">
        <f t="shared" si="1"/>
        <v>14023.04732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</row>
    <row r="16">
      <c r="D16" s="20" t="s">
        <v>24</v>
      </c>
    </row>
  </sheetData>
  <mergeCells count="3">
    <mergeCell ref="A1:R1"/>
    <mergeCell ref="B7:R7"/>
    <mergeCell ref="B8:R8"/>
  </mergeCells>
  <drawing r:id="rId1"/>
</worksheet>
</file>