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SENCE" sheetId="1" r:id="rId5"/>
    <sheet state="visible" name="EASY" sheetId="2" r:id="rId6"/>
    <sheet state="visible" name="CULLINAN" sheetId="3" r:id="rId7"/>
    <sheet state="visible" name="ATHOS" sheetId="4" r:id="rId8"/>
    <sheet state="visible" name="NOBILE" sheetId="5" r:id="rId9"/>
    <sheet state="visible" name="FUSION" sheetId="6" r:id="rId10"/>
    <sheet state="visible" name="METROPOLITAN" sheetId="7" r:id="rId11"/>
    <sheet state="visible" name="MERCURE" sheetId="8" r:id="rId12"/>
    <sheet state="visible" name="BRISAS" sheetId="9" r:id="rId13"/>
    <sheet state="visible" name="RESULTADO ADM MES" sheetId="10" r:id="rId14"/>
  </sheets>
  <definedNames/>
  <calcPr/>
</workbook>
</file>

<file path=xl/sharedStrings.xml><?xml version="1.0" encoding="utf-8"?>
<sst xmlns="http://schemas.openxmlformats.org/spreadsheetml/2006/main" count="474" uniqueCount="35">
  <si>
    <t>JAN</t>
  </si>
  <si>
    <t>Descrição</t>
  </si>
  <si>
    <t>-</t>
  </si>
  <si>
    <t>Amenitiz</t>
  </si>
  <si>
    <t>Condomínio</t>
  </si>
  <si>
    <t>Energia</t>
  </si>
  <si>
    <t>Gás</t>
  </si>
  <si>
    <t>Internet</t>
  </si>
  <si>
    <t>Lavanderia</t>
  </si>
  <si>
    <t>Manutenção</t>
  </si>
  <si>
    <t>Mercado</t>
  </si>
  <si>
    <t>filtro</t>
  </si>
  <si>
    <t>TOTAL:</t>
  </si>
  <si>
    <t>IPTU</t>
  </si>
  <si>
    <t>Seguro</t>
  </si>
  <si>
    <t>enxoval</t>
  </si>
  <si>
    <t>1214A</t>
  </si>
  <si>
    <t>A113</t>
  </si>
  <si>
    <t>A115</t>
  </si>
  <si>
    <t>A117</t>
  </si>
  <si>
    <t>E020</t>
  </si>
  <si>
    <t>JAN - ADM</t>
  </si>
  <si>
    <t>ESSENCE</t>
  </si>
  <si>
    <t>EASY</t>
  </si>
  <si>
    <t>CULLINAN</t>
  </si>
  <si>
    <t>ATHOS</t>
  </si>
  <si>
    <t>NOBILE</t>
  </si>
  <si>
    <t>FUSION</t>
  </si>
  <si>
    <t>METROPOLITAN</t>
  </si>
  <si>
    <t>BRISAS</t>
  </si>
  <si>
    <t>MERCURE</t>
  </si>
  <si>
    <t>FAT</t>
  </si>
  <si>
    <t>LUC</t>
  </si>
  <si>
    <t>TOTAL FAT</t>
  </si>
  <si>
    <t>TOTAL LUC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</si>
</sst>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]#,##0.00"/>
    <numFmt numFmtId="165" formatCode="&quot;$&quot;#,##0.00"/>
    <numFmt numFmtId="166" formatCode="[$R$ -416]#,##0.00"/>
  </numFmts>
  <fonts count="8">
    <font>
      <sz val="10.0"/>
      <color rgb="FF000000"/>
      <name val="Arial"/>
      <scheme val="minor"/>
    </font>
    <font>
      <b/>
      <sz val="11.0"/>
      <color rgb="FF000000"/>
      <name val="Calibri"/>
    </font>
    <font/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ill="1" applyFont="1">
      <alignment horizontal="center" readingOrder="0" shrinkToFit="0" vertical="bottom" wrapText="0"/>
    </xf>
    <xf borderId="0" fillId="3" fontId="1" numFmtId="0" xfId="0" applyAlignment="1" applyFill="1" applyFont="1">
      <alignment horizontal="center" readingOrder="0" shrinkToFit="0" vertical="bottom" wrapText="0"/>
    </xf>
    <xf borderId="0" fillId="2" fontId="3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 shrinkToFit="0" vertical="bottom" wrapText="0"/>
    </xf>
    <xf borderId="0" fillId="0" fontId="5" numFmtId="165" xfId="0" applyAlignment="1" applyFont="1" applyNumberFormat="1">
      <alignment horizontal="center" readingOrder="0" shrinkToFit="0" vertical="bottom" wrapText="0"/>
    </xf>
    <xf borderId="0" fillId="0" fontId="4" numFmtId="166" xfId="0" applyAlignment="1" applyFont="1" applyNumberFormat="1">
      <alignment horizontal="center" readingOrder="0"/>
    </xf>
    <xf borderId="0" fillId="3" fontId="4" numFmtId="0" xfId="0" applyAlignment="1" applyFont="1">
      <alignment horizontal="center" readingOrder="0"/>
    </xf>
    <xf borderId="0" fillId="3" fontId="6" numFmtId="0" xfId="0" applyAlignment="1" applyFont="1">
      <alignment horizontal="center" readingOrder="0"/>
    </xf>
    <xf borderId="0" fillId="3" fontId="7" numFmtId="0" xfId="0" applyAlignment="1" applyFont="1">
      <alignment horizontal="center" vertical="bottom"/>
    </xf>
    <xf borderId="0" fillId="0" fontId="4" numFmtId="164" xfId="0" applyAlignment="1" applyFont="1" applyNumberFormat="1">
      <alignment horizontal="center" readingOrder="0"/>
    </xf>
    <xf borderId="0" fillId="3" fontId="7" numFmtId="0" xfId="0" applyAlignment="1" applyFont="1">
      <alignment horizontal="center" readingOrder="0" vertical="bottom"/>
    </xf>
    <xf borderId="0" fillId="0" fontId="4" numFmtId="165" xfId="0" applyAlignment="1" applyFont="1" applyNumberFormat="1">
      <alignment horizontal="center" readingOrder="0"/>
    </xf>
    <xf borderId="0" fillId="0" fontId="7" numFmtId="0" xfId="0" applyAlignment="1" applyFont="1">
      <alignment horizontal="center" vertical="bottom"/>
    </xf>
    <xf borderId="0" fillId="0" fontId="5" numFmtId="166" xfId="0" applyAlignment="1" applyFont="1" applyNumberFormat="1">
      <alignment horizontal="center" readingOrder="0" shrinkToFit="0" vertical="bottom" wrapText="0"/>
    </xf>
    <xf borderId="0" fillId="0" fontId="7" numFmtId="0" xfId="0" applyAlignment="1" applyFont="1">
      <alignment horizontal="center" readingOrder="0" vertical="bottom"/>
    </xf>
    <xf borderId="0" fillId="3" fontId="5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bottom" wrapText="0"/>
    </xf>
    <xf borderId="0" fillId="0" fontId="4" numFmtId="165" xfId="0" applyAlignment="1" applyFont="1" applyNumberFormat="1">
      <alignment readingOrder="0"/>
    </xf>
    <xf borderId="0" fillId="0" fontId="3" numFmtId="166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3" fontId="3" numFmtId="166" xfId="0" applyAlignment="1" applyFont="1" applyNumberFormat="1">
      <alignment horizontal="center"/>
    </xf>
    <xf borderId="0" fillId="3" fontId="4" numFmtId="166" xfId="0" applyAlignment="1" applyFont="1" applyNumberFormat="1">
      <alignment horizontal="center"/>
    </xf>
    <xf borderId="0" fillId="3" fontId="4" numFmtId="0" xfId="0" applyFont="1"/>
    <xf borderId="0" fillId="3" fontId="4" numFmtId="166" xfId="0" applyAlignment="1" applyFont="1" applyNumberFormat="1">
      <alignment horizontal="center" readingOrder="0"/>
    </xf>
    <xf borderId="0" fillId="0" fontId="4" numFmtId="166" xfId="0" applyAlignment="1" applyFont="1" applyNumberFormat="1">
      <alignment horizontal="center"/>
    </xf>
    <xf borderId="0" fillId="0" fontId="4" numFmtId="166" xfId="0" applyAlignment="1" applyFont="1" applyNumberFormat="1">
      <alignment readingOrder="0"/>
    </xf>
    <xf borderId="0" fillId="0" fontId="4" numFmtId="4" xfId="0" applyFont="1" applyNumberFormat="1"/>
    <xf borderId="0" fillId="3" fontId="4" numFmtId="0" xfId="0" applyAlignment="1" applyFont="1">
      <alignment horizontal="center"/>
    </xf>
    <xf borderId="0" fillId="0" fontId="3" numFmtId="166" xfId="0" applyFont="1" applyNumberFormat="1"/>
    <xf borderId="0" fillId="0" fontId="4" numFmtId="0" xfId="0" applyAlignment="1" applyFont="1">
      <alignment readingOrder="0"/>
    </xf>
    <xf borderId="0" fillId="3" fontId="3" numFmtId="0" xfId="0" applyAlignment="1" applyFont="1">
      <alignment horizontal="center"/>
    </xf>
    <xf borderId="1" fillId="3" fontId="1" numFmtId="0" xfId="0" applyAlignment="1" applyBorder="1" applyFont="1">
      <alignment horizontal="center" readingOrder="0" shrinkToFit="0" vertical="top" wrapText="0"/>
    </xf>
    <xf borderId="0" fillId="0" fontId="4" numFmtId="166" xfId="0" applyAlignment="1" applyFont="1" applyNumberForma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5.63"/>
    <col customWidth="1" min="8" max="8" width="14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>
      <c r="A2" s="4">
        <v>302.0</v>
      </c>
      <c r="B2" s="5" t="s">
        <v>1</v>
      </c>
      <c r="C2" s="6">
        <v>603.0</v>
      </c>
      <c r="D2" s="5" t="s">
        <v>1</v>
      </c>
      <c r="E2" s="7" t="s">
        <v>2</v>
      </c>
      <c r="F2" s="5" t="s">
        <v>1</v>
      </c>
      <c r="G2" s="7" t="s">
        <v>2</v>
      </c>
      <c r="H2" s="7" t="s">
        <v>1</v>
      </c>
      <c r="I2" s="7" t="s">
        <v>2</v>
      </c>
      <c r="J2" s="5" t="s">
        <v>1</v>
      </c>
      <c r="K2" s="7" t="s">
        <v>2</v>
      </c>
      <c r="L2" s="5" t="s">
        <v>1</v>
      </c>
      <c r="M2" s="7" t="s">
        <v>2</v>
      </c>
      <c r="N2" s="8" t="s">
        <v>1</v>
      </c>
      <c r="O2" s="9"/>
    </row>
    <row r="3">
      <c r="A3" s="10">
        <v>30.0</v>
      </c>
      <c r="B3" s="9" t="s">
        <v>3</v>
      </c>
      <c r="C3" s="11">
        <v>30.0</v>
      </c>
      <c r="D3" s="9" t="s">
        <v>3</v>
      </c>
      <c r="E3" s="12">
        <v>0.0</v>
      </c>
      <c r="F3" s="9" t="s">
        <v>3</v>
      </c>
      <c r="G3" s="12">
        <v>0.0</v>
      </c>
      <c r="H3" s="9" t="s">
        <v>3</v>
      </c>
      <c r="I3" s="12">
        <v>0.0</v>
      </c>
      <c r="J3" s="9" t="s">
        <v>3</v>
      </c>
      <c r="K3" s="12">
        <v>0.0</v>
      </c>
      <c r="L3" s="9" t="s">
        <v>3</v>
      </c>
      <c r="M3" s="12">
        <v>0.0</v>
      </c>
      <c r="N3" s="9" t="s">
        <v>3</v>
      </c>
      <c r="O3" s="12"/>
    </row>
    <row r="4">
      <c r="A4" s="10">
        <f>1111.66+5500</f>
        <v>6611.66</v>
      </c>
      <c r="B4" s="13" t="s">
        <v>4</v>
      </c>
      <c r="C4" s="11">
        <f>1089.34+5500</f>
        <v>6589.34</v>
      </c>
      <c r="D4" s="13" t="s">
        <v>4</v>
      </c>
      <c r="E4" s="12">
        <v>0.0</v>
      </c>
      <c r="F4" s="13" t="s">
        <v>4</v>
      </c>
      <c r="G4" s="12">
        <v>0.0</v>
      </c>
      <c r="H4" s="13" t="s">
        <v>4</v>
      </c>
      <c r="I4" s="12">
        <v>0.0</v>
      </c>
      <c r="J4" s="13" t="s">
        <v>4</v>
      </c>
      <c r="K4" s="12">
        <v>0.0</v>
      </c>
      <c r="L4" s="13" t="s">
        <v>4</v>
      </c>
      <c r="M4" s="12">
        <v>0.0</v>
      </c>
      <c r="N4" s="13" t="s">
        <v>4</v>
      </c>
      <c r="O4" s="12"/>
    </row>
    <row r="5">
      <c r="A5" s="10">
        <v>0.0</v>
      </c>
      <c r="B5" s="13" t="s">
        <v>5</v>
      </c>
      <c r="C5" s="11">
        <v>0.0</v>
      </c>
      <c r="D5" s="13" t="s">
        <v>5</v>
      </c>
      <c r="E5" s="12">
        <v>0.0</v>
      </c>
      <c r="F5" s="13" t="s">
        <v>5</v>
      </c>
      <c r="G5" s="12">
        <v>0.0</v>
      </c>
      <c r="H5" s="13" t="s">
        <v>5</v>
      </c>
      <c r="I5" s="12">
        <v>0.0</v>
      </c>
      <c r="J5" s="13" t="s">
        <v>5</v>
      </c>
      <c r="K5" s="12">
        <v>0.0</v>
      </c>
      <c r="L5" s="13" t="s">
        <v>5</v>
      </c>
      <c r="M5" s="12">
        <v>0.0</v>
      </c>
      <c r="N5" s="13" t="s">
        <v>5</v>
      </c>
      <c r="O5" s="12"/>
    </row>
    <row r="6">
      <c r="A6" s="10">
        <v>0.0</v>
      </c>
      <c r="B6" s="14" t="s">
        <v>6</v>
      </c>
      <c r="C6" s="11">
        <v>0.0</v>
      </c>
      <c r="D6" s="14" t="s">
        <v>6</v>
      </c>
      <c r="E6" s="12">
        <v>0.0</v>
      </c>
      <c r="F6" s="14" t="s">
        <v>6</v>
      </c>
      <c r="G6" s="12">
        <v>0.0</v>
      </c>
      <c r="H6" s="14" t="s">
        <v>6</v>
      </c>
      <c r="I6" s="12">
        <v>0.0</v>
      </c>
      <c r="J6" s="14" t="s">
        <v>6</v>
      </c>
      <c r="K6" s="12">
        <v>0.0</v>
      </c>
      <c r="L6" s="14" t="s">
        <v>6</v>
      </c>
      <c r="M6" s="12">
        <v>0.0</v>
      </c>
      <c r="N6" s="14" t="s">
        <v>6</v>
      </c>
      <c r="O6" s="12"/>
    </row>
    <row r="7">
      <c r="A7" s="10">
        <v>0.0</v>
      </c>
      <c r="B7" s="15" t="s">
        <v>7</v>
      </c>
      <c r="C7" s="11">
        <v>0.0</v>
      </c>
      <c r="D7" s="15" t="s">
        <v>7</v>
      </c>
      <c r="E7" s="12">
        <v>0.0</v>
      </c>
      <c r="F7" s="15" t="s">
        <v>7</v>
      </c>
      <c r="G7" s="12">
        <v>0.0</v>
      </c>
      <c r="H7" s="15" t="s">
        <v>7</v>
      </c>
      <c r="I7" s="12">
        <v>0.0</v>
      </c>
      <c r="J7" s="15" t="s">
        <v>7</v>
      </c>
      <c r="K7" s="12">
        <v>0.0</v>
      </c>
      <c r="L7" s="15" t="s">
        <v>7</v>
      </c>
      <c r="M7" s="12">
        <v>0.0</v>
      </c>
      <c r="N7" s="15" t="s">
        <v>7</v>
      </c>
      <c r="O7" s="12"/>
    </row>
    <row r="8">
      <c r="A8" s="10">
        <v>266.33</v>
      </c>
      <c r="B8" s="15" t="s">
        <v>8</v>
      </c>
      <c r="C8" s="11">
        <v>266.33</v>
      </c>
      <c r="D8" s="15" t="s">
        <v>8</v>
      </c>
      <c r="E8" s="12">
        <v>0.0</v>
      </c>
      <c r="F8" s="15" t="s">
        <v>8</v>
      </c>
      <c r="G8" s="12">
        <v>0.0</v>
      </c>
      <c r="H8" s="15" t="s">
        <v>8</v>
      </c>
      <c r="I8" s="12">
        <v>0.0</v>
      </c>
      <c r="J8" s="15" t="s">
        <v>8</v>
      </c>
      <c r="K8" s="12">
        <v>0.0</v>
      </c>
      <c r="L8" s="15" t="s">
        <v>8</v>
      </c>
      <c r="M8" s="12">
        <v>0.0</v>
      </c>
      <c r="N8" s="15" t="s">
        <v>8</v>
      </c>
      <c r="O8" s="12"/>
    </row>
    <row r="9">
      <c r="A9" s="10">
        <v>90.0</v>
      </c>
      <c r="B9" s="15" t="s">
        <v>9</v>
      </c>
      <c r="C9" s="11">
        <v>90.0</v>
      </c>
      <c r="D9" s="15" t="s">
        <v>9</v>
      </c>
      <c r="E9" s="12">
        <v>0.0</v>
      </c>
      <c r="F9" s="15" t="s">
        <v>9</v>
      </c>
      <c r="G9" s="12">
        <v>0.0</v>
      </c>
      <c r="H9" s="15" t="s">
        <v>9</v>
      </c>
      <c r="I9" s="12">
        <v>0.0</v>
      </c>
      <c r="J9" s="15" t="s">
        <v>9</v>
      </c>
      <c r="K9" s="12">
        <v>0.0</v>
      </c>
      <c r="L9" s="15" t="s">
        <v>9</v>
      </c>
      <c r="M9" s="12">
        <v>0.0</v>
      </c>
      <c r="N9" s="15" t="s">
        <v>9</v>
      </c>
      <c r="O9" s="12"/>
    </row>
    <row r="10">
      <c r="A10" s="16">
        <v>0.0</v>
      </c>
      <c r="B10" s="17" t="s">
        <v>10</v>
      </c>
      <c r="C10" s="18">
        <v>0.0</v>
      </c>
      <c r="D10" s="17" t="s">
        <v>10</v>
      </c>
      <c r="E10" s="12">
        <v>0.0</v>
      </c>
      <c r="F10" s="17" t="s">
        <v>10</v>
      </c>
      <c r="G10" s="12">
        <v>0.0</v>
      </c>
      <c r="H10" s="17" t="s">
        <v>10</v>
      </c>
      <c r="I10" s="12">
        <v>0.0</v>
      </c>
      <c r="J10" s="17" t="s">
        <v>10</v>
      </c>
      <c r="K10" s="12">
        <v>0.0</v>
      </c>
      <c r="L10" s="17" t="s">
        <v>10</v>
      </c>
      <c r="M10" s="12">
        <v>0.0</v>
      </c>
      <c r="N10" s="17" t="s">
        <v>10</v>
      </c>
      <c r="O10" s="12"/>
    </row>
    <row r="11">
      <c r="A11" s="18">
        <v>0.0</v>
      </c>
      <c r="B11" s="15"/>
      <c r="C11" s="18">
        <v>0.0</v>
      </c>
      <c r="D11" s="19"/>
      <c r="E11" s="12">
        <v>0.0</v>
      </c>
      <c r="F11" s="19"/>
      <c r="G11" s="12">
        <v>0.0</v>
      </c>
      <c r="H11" s="19"/>
      <c r="I11" s="12">
        <v>0.0</v>
      </c>
      <c r="J11" s="19"/>
      <c r="K11" s="12">
        <v>0.0</v>
      </c>
      <c r="L11" s="19"/>
      <c r="M11" s="12">
        <v>0.0</v>
      </c>
      <c r="N11" s="19"/>
      <c r="O11" s="12"/>
    </row>
    <row r="12">
      <c r="A12" s="11">
        <v>0.0</v>
      </c>
      <c r="B12" s="10"/>
      <c r="C12" s="20">
        <v>0.0</v>
      </c>
      <c r="D12" s="21"/>
      <c r="E12" s="12">
        <v>0.0</v>
      </c>
      <c r="F12" s="21"/>
      <c r="G12" s="12">
        <v>0.0</v>
      </c>
      <c r="H12" s="21"/>
      <c r="I12" s="12">
        <v>0.0</v>
      </c>
      <c r="J12" s="21"/>
      <c r="K12" s="12">
        <v>0.0</v>
      </c>
      <c r="L12" s="21"/>
      <c r="M12" s="12">
        <v>0.0</v>
      </c>
      <c r="N12" s="21"/>
      <c r="O12" s="12"/>
    </row>
    <row r="13">
      <c r="A13" s="11">
        <v>0.0</v>
      </c>
      <c r="B13" s="13"/>
      <c r="C13" s="20">
        <v>0.0</v>
      </c>
      <c r="D13" s="9"/>
      <c r="E13" s="12">
        <v>0.0</v>
      </c>
      <c r="F13" s="9"/>
      <c r="G13" s="12">
        <v>0.0</v>
      </c>
      <c r="H13" s="9"/>
      <c r="I13" s="12">
        <v>0.0</v>
      </c>
      <c r="J13" s="9"/>
      <c r="K13" s="12">
        <v>0.0</v>
      </c>
      <c r="L13" s="9"/>
      <c r="M13" s="12">
        <v>0.0</v>
      </c>
      <c r="N13" s="9" t="s">
        <v>11</v>
      </c>
      <c r="O13" s="12"/>
    </row>
    <row r="14">
      <c r="A14" s="11">
        <v>0.0</v>
      </c>
      <c r="B14" s="22"/>
      <c r="C14" s="20">
        <v>0.0</v>
      </c>
      <c r="E14" s="12">
        <v>0.0</v>
      </c>
      <c r="F14" s="23"/>
      <c r="G14" s="12">
        <v>0.0</v>
      </c>
      <c r="H14" s="23"/>
      <c r="I14" s="12">
        <v>0.0</v>
      </c>
      <c r="J14" s="23"/>
      <c r="K14" s="12">
        <v>0.0</v>
      </c>
      <c r="L14" s="9"/>
      <c r="M14" s="12">
        <v>0.0</v>
      </c>
      <c r="N14" s="23"/>
      <c r="O14" s="12"/>
    </row>
    <row r="15">
      <c r="A15" s="11">
        <v>0.0</v>
      </c>
      <c r="B15" s="24"/>
      <c r="C15" s="20">
        <v>0.0</v>
      </c>
      <c r="D15" s="25"/>
      <c r="E15" s="12">
        <v>0.0</v>
      </c>
      <c r="F15" s="23"/>
      <c r="G15" s="12">
        <v>0.0</v>
      </c>
      <c r="H15" s="23"/>
      <c r="I15" s="12">
        <v>0.0</v>
      </c>
      <c r="J15" s="23"/>
      <c r="K15" s="12">
        <v>0.0</v>
      </c>
      <c r="L15" s="23"/>
      <c r="M15" s="12">
        <v>0.0</v>
      </c>
      <c r="N15" s="23"/>
      <c r="O15" s="12"/>
    </row>
    <row r="16">
      <c r="A16" s="20">
        <v>0.0</v>
      </c>
      <c r="B16" s="24"/>
      <c r="C16" s="20">
        <v>0.0</v>
      </c>
      <c r="E16" s="12">
        <v>0.0</v>
      </c>
      <c r="F16" s="23"/>
      <c r="G16" s="12">
        <v>0.0</v>
      </c>
      <c r="H16" s="23"/>
      <c r="I16" s="12">
        <v>0.0</v>
      </c>
      <c r="J16" s="23"/>
      <c r="K16" s="12">
        <v>0.0</v>
      </c>
      <c r="L16" s="23"/>
      <c r="M16" s="12">
        <v>0.0</v>
      </c>
      <c r="N16" s="23"/>
      <c r="O16" s="12"/>
    </row>
    <row r="17">
      <c r="A17" s="20">
        <v>0.0</v>
      </c>
      <c r="B17" s="24"/>
      <c r="C17" s="20">
        <v>0.0</v>
      </c>
      <c r="E17" s="12">
        <v>0.0</v>
      </c>
      <c r="F17" s="23"/>
      <c r="G17" s="12">
        <v>0.0</v>
      </c>
      <c r="H17" s="23"/>
      <c r="I17" s="12">
        <v>0.0</v>
      </c>
      <c r="J17" s="23"/>
      <c r="K17" s="12">
        <v>0.0</v>
      </c>
      <c r="L17" s="23"/>
      <c r="M17" s="12">
        <v>0.0</v>
      </c>
      <c r="N17" s="23"/>
      <c r="O17" s="12"/>
    </row>
    <row r="18">
      <c r="A18" s="20">
        <v>0.0</v>
      </c>
      <c r="B18" s="23"/>
      <c r="C18" s="20">
        <v>0.0</v>
      </c>
      <c r="E18" s="12">
        <v>0.0</v>
      </c>
      <c r="F18" s="23"/>
      <c r="G18" s="12">
        <v>0.0</v>
      </c>
      <c r="H18" s="23"/>
      <c r="I18" s="12">
        <v>0.0</v>
      </c>
      <c r="J18" s="23"/>
      <c r="K18" s="12">
        <v>0.0</v>
      </c>
      <c r="L18" s="23"/>
      <c r="M18" s="12">
        <v>0.0</v>
      </c>
      <c r="N18" s="23"/>
      <c r="O18" s="12"/>
    </row>
    <row r="19">
      <c r="A19" s="20">
        <v>0.0</v>
      </c>
      <c r="B19" s="24"/>
      <c r="C19" s="20">
        <v>0.0</v>
      </c>
      <c r="E19" s="12">
        <v>0.0</v>
      </c>
      <c r="F19" s="23"/>
      <c r="G19" s="12">
        <v>0.0</v>
      </c>
      <c r="H19" s="23"/>
      <c r="I19" s="12">
        <v>0.0</v>
      </c>
      <c r="J19" s="23"/>
      <c r="K19" s="12">
        <v>0.0</v>
      </c>
      <c r="L19" s="23"/>
      <c r="M19" s="12">
        <v>0.0</v>
      </c>
      <c r="N19" s="23"/>
      <c r="O19" s="12"/>
    </row>
    <row r="20">
      <c r="A20" s="20">
        <v>0.0</v>
      </c>
      <c r="B20" s="24"/>
      <c r="C20" s="20">
        <v>0.0</v>
      </c>
      <c r="D20" s="9"/>
      <c r="E20" s="12">
        <v>0.0</v>
      </c>
      <c r="F20" s="23"/>
      <c r="G20" s="12">
        <v>0.0</v>
      </c>
      <c r="H20" s="23"/>
      <c r="I20" s="12">
        <v>0.0</v>
      </c>
      <c r="J20" s="23"/>
      <c r="K20" s="12">
        <v>0.0</v>
      </c>
      <c r="L20" s="23"/>
      <c r="M20" s="12">
        <v>0.0</v>
      </c>
      <c r="N20" s="23"/>
      <c r="O20" s="12"/>
    </row>
    <row r="21">
      <c r="A21" s="20">
        <v>0.0</v>
      </c>
      <c r="B21" s="24"/>
      <c r="C21" s="20">
        <v>0.0</v>
      </c>
      <c r="D21" s="23"/>
      <c r="E21" s="12">
        <v>0.0</v>
      </c>
      <c r="F21" s="23"/>
      <c r="G21" s="12">
        <v>0.0</v>
      </c>
      <c r="H21" s="23"/>
      <c r="I21" s="12">
        <v>0.0</v>
      </c>
      <c r="J21" s="23"/>
      <c r="K21" s="12">
        <v>0.0</v>
      </c>
      <c r="L21" s="23"/>
      <c r="M21" s="12">
        <v>0.0</v>
      </c>
      <c r="N21" s="23"/>
      <c r="O21" s="12"/>
    </row>
    <row r="22">
      <c r="A22" s="20">
        <v>0.0</v>
      </c>
      <c r="B22" s="23"/>
      <c r="C22" s="20">
        <v>0.0</v>
      </c>
      <c r="D22" s="23"/>
      <c r="E22" s="12">
        <v>0.0</v>
      </c>
      <c r="F22" s="23"/>
      <c r="G22" s="12">
        <v>0.0</v>
      </c>
      <c r="H22" s="23"/>
      <c r="I22" s="12">
        <v>0.0</v>
      </c>
      <c r="J22" s="23"/>
      <c r="K22" s="12">
        <v>0.0</v>
      </c>
      <c r="L22" s="23"/>
      <c r="M22" s="12">
        <v>0.0</v>
      </c>
      <c r="N22" s="23"/>
      <c r="O22" s="12"/>
    </row>
    <row r="23">
      <c r="A23" s="20">
        <v>0.0</v>
      </c>
      <c r="B23" s="23"/>
      <c r="C23" s="20">
        <v>0.0</v>
      </c>
      <c r="D23" s="23"/>
      <c r="E23" s="12">
        <v>0.0</v>
      </c>
      <c r="F23" s="23"/>
      <c r="G23" s="12">
        <v>0.0</v>
      </c>
      <c r="H23" s="9"/>
      <c r="I23" s="12">
        <v>0.0</v>
      </c>
      <c r="J23" s="23"/>
      <c r="K23" s="12">
        <v>0.0</v>
      </c>
      <c r="L23" s="23"/>
      <c r="M23" s="12">
        <v>0.0</v>
      </c>
      <c r="N23" s="23"/>
      <c r="O23" s="12"/>
    </row>
    <row r="24">
      <c r="A24" s="20">
        <v>0.0</v>
      </c>
      <c r="B24" s="23"/>
      <c r="C24" s="20">
        <v>0.0</v>
      </c>
      <c r="D24" s="23"/>
      <c r="E24" s="12">
        <v>0.0</v>
      </c>
      <c r="F24" s="23"/>
      <c r="G24" s="12">
        <v>0.0</v>
      </c>
      <c r="H24" s="23"/>
      <c r="I24" s="12">
        <v>0.0</v>
      </c>
      <c r="J24" s="23"/>
      <c r="K24" s="12">
        <v>0.0</v>
      </c>
      <c r="L24" s="23"/>
      <c r="M24" s="12">
        <v>0.0</v>
      </c>
      <c r="N24" s="23"/>
      <c r="O24" s="12"/>
    </row>
    <row r="25">
      <c r="A25" s="20">
        <v>0.0</v>
      </c>
      <c r="B25" s="23"/>
      <c r="C25" s="20">
        <v>0.0</v>
      </c>
      <c r="D25" s="23"/>
      <c r="E25" s="12">
        <v>0.0</v>
      </c>
      <c r="F25" s="23"/>
      <c r="G25" s="12">
        <v>0.0</v>
      </c>
      <c r="H25" s="23"/>
      <c r="I25" s="12">
        <v>0.0</v>
      </c>
      <c r="J25" s="23"/>
      <c r="K25" s="12">
        <v>0.0</v>
      </c>
      <c r="L25" s="23"/>
      <c r="M25" s="12">
        <v>0.0</v>
      </c>
      <c r="N25" s="23"/>
      <c r="O25" s="12"/>
    </row>
    <row r="26">
      <c r="A26" s="20">
        <v>0.0</v>
      </c>
      <c r="B26" s="23"/>
      <c r="C26" s="20">
        <v>0.0</v>
      </c>
      <c r="D26" s="23"/>
      <c r="E26" s="12">
        <v>0.0</v>
      </c>
      <c r="F26" s="23"/>
      <c r="G26" s="12">
        <v>0.0</v>
      </c>
      <c r="H26" s="23"/>
      <c r="I26" s="12">
        <v>0.0</v>
      </c>
      <c r="J26" s="23"/>
      <c r="K26" s="12">
        <v>0.0</v>
      </c>
      <c r="L26" s="23"/>
      <c r="M26" s="12">
        <v>0.0</v>
      </c>
      <c r="N26" s="23"/>
      <c r="O26" s="12"/>
    </row>
    <row r="27">
      <c r="A27" s="20">
        <v>0.0</v>
      </c>
      <c r="B27" s="23"/>
      <c r="C27" s="20">
        <v>0.0</v>
      </c>
      <c r="D27" s="23"/>
      <c r="E27" s="12">
        <v>0.0</v>
      </c>
      <c r="F27" s="23"/>
      <c r="G27" s="12">
        <v>0.0</v>
      </c>
      <c r="H27" s="23"/>
      <c r="I27" s="12">
        <v>0.0</v>
      </c>
      <c r="J27" s="23"/>
      <c r="K27" s="12">
        <v>0.0</v>
      </c>
      <c r="L27" s="23"/>
      <c r="M27" s="12">
        <v>0.0</v>
      </c>
      <c r="N27" s="23"/>
      <c r="O27" s="12"/>
    </row>
    <row r="28">
      <c r="A28" s="20">
        <v>0.0</v>
      </c>
      <c r="B28" s="23"/>
      <c r="C28" s="20">
        <v>0.0</v>
      </c>
      <c r="D28" s="23"/>
      <c r="E28" s="12">
        <v>0.0</v>
      </c>
      <c r="F28" s="23"/>
      <c r="G28" s="12">
        <v>0.0</v>
      </c>
      <c r="H28" s="23"/>
      <c r="I28" s="12">
        <v>0.0</v>
      </c>
      <c r="J28" s="23"/>
      <c r="K28" s="12">
        <v>0.0</v>
      </c>
      <c r="L28" s="23"/>
      <c r="M28" s="12">
        <v>0.0</v>
      </c>
      <c r="N28" s="23"/>
      <c r="O28" s="12"/>
    </row>
    <row r="29">
      <c r="A29" s="20">
        <v>0.0</v>
      </c>
      <c r="B29" s="23"/>
      <c r="C29" s="20">
        <v>0.0</v>
      </c>
      <c r="D29" s="23"/>
      <c r="E29" s="12">
        <v>0.0</v>
      </c>
      <c r="F29" s="23"/>
      <c r="G29" s="12">
        <v>0.0</v>
      </c>
      <c r="H29" s="23"/>
      <c r="I29" s="12">
        <v>0.0</v>
      </c>
      <c r="J29" s="23"/>
      <c r="K29" s="12">
        <v>0.0</v>
      </c>
      <c r="L29" s="23"/>
      <c r="M29" s="12">
        <v>0.0</v>
      </c>
      <c r="N29" s="23"/>
      <c r="O29" s="12"/>
    </row>
    <row r="30">
      <c r="A30" s="26">
        <f>SUM(A3:A29)</f>
        <v>6997.99</v>
      </c>
      <c r="B30" s="23"/>
      <c r="C30" s="26">
        <f>SUM(C3:C29)</f>
        <v>6975.67</v>
      </c>
      <c r="D30" s="27"/>
      <c r="E30" s="26">
        <f>SUM(E3:E29)</f>
        <v>0</v>
      </c>
      <c r="F30" s="26"/>
      <c r="G30" s="26">
        <f>SUM(G3:G29)</f>
        <v>0</v>
      </c>
      <c r="H30" s="23"/>
      <c r="I30" s="26">
        <f>SUM(I3:I29)</f>
        <v>0</v>
      </c>
      <c r="J30" s="23"/>
      <c r="K30" s="26">
        <f>SUM(K3:K29)</f>
        <v>0</v>
      </c>
      <c r="L30" s="26"/>
      <c r="M30" s="26">
        <f>SUM(M3:M29)</f>
        <v>0</v>
      </c>
      <c r="N30" s="23"/>
      <c r="O30" s="26"/>
    </row>
    <row r="31">
      <c r="A31" s="7" t="s">
        <v>12</v>
      </c>
      <c r="B31" s="28">
        <f>A30+C30+E30+G30+I30+K30+M30</f>
        <v>13973.66</v>
      </c>
    </row>
    <row r="32">
      <c r="A32" s="29"/>
      <c r="B32" s="30"/>
      <c r="C32" s="31"/>
      <c r="D32" s="23"/>
      <c r="E32" s="32"/>
      <c r="F32" s="23"/>
      <c r="G32" s="32"/>
      <c r="H32" s="23"/>
      <c r="I32" s="32"/>
      <c r="J32" s="23"/>
      <c r="K32" s="32"/>
    </row>
    <row r="33">
      <c r="A33" s="12"/>
    </row>
    <row r="34">
      <c r="A34" s="20"/>
    </row>
    <row r="35">
      <c r="A35" s="20"/>
    </row>
    <row r="36">
      <c r="A36" s="20"/>
      <c r="E36" s="33"/>
    </row>
    <row r="37">
      <c r="A37" s="20"/>
      <c r="E37" s="33"/>
    </row>
    <row r="39">
      <c r="A39" s="34">
        <v>316.07000000000005</v>
      </c>
    </row>
  </sheetData>
  <mergeCells count="2">
    <mergeCell ref="A1:V1"/>
    <mergeCell ref="B31:K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5.63"/>
    <col customWidth="1" min="8" max="8" width="14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5" t="s">
        <v>2</v>
      </c>
      <c r="B2" s="5" t="s">
        <v>1</v>
      </c>
      <c r="C2" s="7" t="s">
        <v>2</v>
      </c>
      <c r="D2" s="5" t="s">
        <v>1</v>
      </c>
      <c r="E2" s="7" t="s">
        <v>2</v>
      </c>
      <c r="F2" s="5" t="s">
        <v>1</v>
      </c>
      <c r="G2" s="13"/>
      <c r="H2" s="35"/>
      <c r="I2" s="13"/>
      <c r="J2" s="35"/>
      <c r="K2" s="13"/>
      <c r="L2" s="23"/>
      <c r="M2" s="9"/>
      <c r="N2" s="23"/>
      <c r="O2" s="9"/>
    </row>
    <row r="3">
      <c r="A3" s="20">
        <v>30.0</v>
      </c>
      <c r="B3" s="9" t="s">
        <v>3</v>
      </c>
      <c r="C3" s="20">
        <v>30.0</v>
      </c>
      <c r="D3" s="9" t="s">
        <v>3</v>
      </c>
      <c r="E3" s="20">
        <v>30.0</v>
      </c>
      <c r="F3" s="9" t="s">
        <v>3</v>
      </c>
      <c r="G3" s="12"/>
      <c r="H3" s="23"/>
      <c r="I3" s="12"/>
      <c r="J3" s="23"/>
      <c r="K3" s="12"/>
      <c r="L3" s="23"/>
      <c r="M3" s="12"/>
      <c r="N3" s="23"/>
      <c r="O3" s="12"/>
    </row>
    <row r="4">
      <c r="A4" s="20">
        <v>0.0</v>
      </c>
      <c r="B4" s="9" t="s">
        <v>4</v>
      </c>
      <c r="C4" s="20">
        <v>0.0</v>
      </c>
      <c r="D4" s="9" t="s">
        <v>4</v>
      </c>
      <c r="E4" s="20">
        <v>0.0</v>
      </c>
      <c r="F4" s="9" t="s">
        <v>4</v>
      </c>
      <c r="G4" s="12"/>
      <c r="H4" s="23"/>
      <c r="I4" s="12"/>
      <c r="J4" s="23"/>
      <c r="K4" s="12"/>
      <c r="L4" s="23"/>
      <c r="M4" s="12"/>
      <c r="N4" s="23"/>
      <c r="O4" s="12"/>
    </row>
    <row r="5">
      <c r="A5" s="20">
        <v>0.0</v>
      </c>
      <c r="B5" s="9" t="s">
        <v>5</v>
      </c>
      <c r="C5" s="20">
        <v>0.0</v>
      </c>
      <c r="D5" s="9" t="s">
        <v>5</v>
      </c>
      <c r="E5" s="20">
        <v>0.0</v>
      </c>
      <c r="F5" s="9" t="s">
        <v>5</v>
      </c>
      <c r="G5" s="12"/>
      <c r="H5" s="23"/>
      <c r="I5" s="12"/>
      <c r="J5" s="23"/>
      <c r="K5" s="12"/>
      <c r="L5" s="23"/>
      <c r="M5" s="12"/>
      <c r="N5" s="23"/>
      <c r="O5" s="12"/>
    </row>
    <row r="6">
      <c r="A6" s="20">
        <v>0.0</v>
      </c>
      <c r="B6" s="9" t="s">
        <v>6</v>
      </c>
      <c r="C6" s="20">
        <v>0.0</v>
      </c>
      <c r="D6" s="9" t="s">
        <v>6</v>
      </c>
      <c r="E6" s="20">
        <v>0.0</v>
      </c>
      <c r="F6" s="9" t="s">
        <v>6</v>
      </c>
      <c r="G6" s="12"/>
      <c r="H6" s="23"/>
      <c r="I6" s="12"/>
      <c r="J6" s="23"/>
      <c r="K6" s="12"/>
      <c r="L6" s="23"/>
      <c r="M6" s="12"/>
      <c r="N6" s="23"/>
      <c r="O6" s="12"/>
    </row>
    <row r="7">
      <c r="A7" s="20">
        <v>0.0</v>
      </c>
      <c r="B7" s="19" t="s">
        <v>7</v>
      </c>
      <c r="C7" s="20">
        <v>0.0</v>
      </c>
      <c r="D7" s="19" t="s">
        <v>7</v>
      </c>
      <c r="E7" s="20">
        <v>0.0</v>
      </c>
      <c r="F7" s="19" t="s">
        <v>7</v>
      </c>
      <c r="G7" s="12"/>
      <c r="H7" s="23"/>
      <c r="I7" s="12"/>
      <c r="J7" s="23"/>
      <c r="K7" s="12"/>
      <c r="L7" s="23"/>
      <c r="M7" s="12"/>
      <c r="N7" s="23"/>
      <c r="O7" s="12"/>
    </row>
    <row r="8">
      <c r="A8" s="20">
        <v>0.0</v>
      </c>
      <c r="B8" s="19" t="s">
        <v>13</v>
      </c>
      <c r="C8" s="20">
        <v>0.0</v>
      </c>
      <c r="D8" s="19" t="s">
        <v>13</v>
      </c>
      <c r="E8" s="20">
        <v>0.0</v>
      </c>
      <c r="F8" s="19" t="s">
        <v>13</v>
      </c>
      <c r="G8" s="12"/>
      <c r="H8" s="23"/>
      <c r="I8" s="12"/>
      <c r="J8" s="23"/>
      <c r="K8" s="12"/>
      <c r="L8" s="23"/>
      <c r="M8" s="12"/>
      <c r="N8" s="23"/>
      <c r="O8" s="12"/>
    </row>
    <row r="9">
      <c r="A9" s="20">
        <v>0.0</v>
      </c>
      <c r="B9" s="19" t="s">
        <v>8</v>
      </c>
      <c r="C9" s="20">
        <v>0.0</v>
      </c>
      <c r="D9" s="19" t="s">
        <v>8</v>
      </c>
      <c r="E9" s="20">
        <v>0.0</v>
      </c>
      <c r="F9" s="19" t="s">
        <v>8</v>
      </c>
      <c r="G9" s="12"/>
      <c r="H9" s="23"/>
      <c r="I9" s="12"/>
      <c r="J9" s="23"/>
      <c r="K9" s="12"/>
      <c r="L9" s="23"/>
      <c r="M9" s="12"/>
      <c r="N9" s="23"/>
      <c r="O9" s="12"/>
    </row>
    <row r="10">
      <c r="A10" s="20">
        <v>90.0</v>
      </c>
      <c r="B10" s="19" t="s">
        <v>9</v>
      </c>
      <c r="C10" s="20">
        <v>90.0</v>
      </c>
      <c r="D10" s="19" t="s">
        <v>9</v>
      </c>
      <c r="E10" s="20">
        <v>90.0</v>
      </c>
      <c r="F10" s="19" t="s">
        <v>9</v>
      </c>
      <c r="G10" s="12"/>
      <c r="H10" s="23"/>
      <c r="I10" s="12"/>
      <c r="J10" s="23"/>
      <c r="K10" s="12"/>
      <c r="L10" s="23"/>
      <c r="M10" s="12"/>
      <c r="N10" s="23"/>
      <c r="O10" s="12"/>
    </row>
    <row r="11">
      <c r="A11" s="20">
        <v>0.0</v>
      </c>
      <c r="B11" s="19" t="s">
        <v>14</v>
      </c>
      <c r="C11" s="20">
        <v>0.0</v>
      </c>
      <c r="D11" s="19" t="s">
        <v>14</v>
      </c>
      <c r="E11" s="20">
        <v>0.0</v>
      </c>
      <c r="F11" s="19" t="s">
        <v>14</v>
      </c>
      <c r="G11" s="12"/>
      <c r="H11" s="23"/>
      <c r="I11" s="12"/>
      <c r="J11" s="23"/>
      <c r="K11" s="12"/>
      <c r="L11" s="23"/>
      <c r="M11" s="12"/>
      <c r="N11" s="23"/>
      <c r="O11" s="12"/>
    </row>
    <row r="12">
      <c r="A12" s="20">
        <v>0.0</v>
      </c>
      <c r="B12" s="21" t="s">
        <v>10</v>
      </c>
      <c r="C12" s="20">
        <v>0.0</v>
      </c>
      <c r="D12" s="21" t="s">
        <v>10</v>
      </c>
      <c r="E12" s="20">
        <v>0.0</v>
      </c>
      <c r="F12" s="21" t="s">
        <v>10</v>
      </c>
      <c r="G12" s="12"/>
      <c r="H12" s="23"/>
      <c r="I12" s="12"/>
      <c r="J12" s="23"/>
      <c r="K12" s="12"/>
      <c r="L12" s="23"/>
      <c r="M12" s="12"/>
      <c r="N12" s="23"/>
      <c r="O12" s="12"/>
    </row>
    <row r="13">
      <c r="A13" s="20">
        <v>0.0</v>
      </c>
      <c r="B13" s="9" t="s">
        <v>15</v>
      </c>
      <c r="C13" s="20">
        <v>0.0</v>
      </c>
      <c r="D13" s="9" t="s">
        <v>15</v>
      </c>
      <c r="E13" s="20">
        <v>0.0</v>
      </c>
      <c r="F13" s="9" t="s">
        <v>15</v>
      </c>
      <c r="G13" s="12"/>
      <c r="H13" s="23"/>
      <c r="I13" s="12"/>
      <c r="J13" s="23"/>
      <c r="K13" s="12"/>
      <c r="L13" s="23"/>
      <c r="M13" s="12"/>
      <c r="N13" s="23"/>
      <c r="O13" s="12"/>
    </row>
    <row r="14">
      <c r="A14" s="20">
        <v>0.0</v>
      </c>
      <c r="B14" s="24"/>
      <c r="C14" s="20">
        <v>0.0</v>
      </c>
      <c r="D14" s="23"/>
      <c r="E14" s="20">
        <v>0.0</v>
      </c>
      <c r="F14" s="23"/>
      <c r="G14" s="12"/>
      <c r="H14" s="23"/>
      <c r="I14" s="12"/>
      <c r="J14" s="23"/>
      <c r="K14" s="12"/>
      <c r="L14" s="23"/>
      <c r="M14" s="12"/>
      <c r="N14" s="23"/>
      <c r="O14" s="12"/>
    </row>
    <row r="15">
      <c r="A15" s="20">
        <v>0.0</v>
      </c>
      <c r="B15" s="24"/>
      <c r="C15" s="20">
        <v>0.0</v>
      </c>
      <c r="D15" s="23"/>
      <c r="E15" s="20">
        <v>0.0</v>
      </c>
      <c r="F15" s="23"/>
      <c r="G15" s="12"/>
      <c r="H15" s="23"/>
      <c r="I15" s="12"/>
      <c r="J15" s="23"/>
      <c r="K15" s="12"/>
      <c r="L15" s="23"/>
      <c r="M15" s="12"/>
      <c r="N15" s="23"/>
      <c r="O15" s="12"/>
    </row>
    <row r="16">
      <c r="A16" s="20">
        <v>0.0</v>
      </c>
      <c r="B16" s="24"/>
      <c r="C16" s="20">
        <v>0.0</v>
      </c>
      <c r="D16" s="23"/>
      <c r="E16" s="20">
        <v>0.0</v>
      </c>
      <c r="F16" s="23"/>
      <c r="G16" s="12"/>
      <c r="H16" s="23"/>
      <c r="I16" s="12"/>
      <c r="J16" s="23"/>
      <c r="K16" s="12"/>
      <c r="L16" s="23"/>
      <c r="M16" s="12"/>
      <c r="N16" s="23"/>
      <c r="O16" s="12"/>
    </row>
    <row r="17">
      <c r="A17" s="20">
        <v>0.0</v>
      </c>
      <c r="B17" s="24"/>
      <c r="C17" s="20">
        <v>0.0</v>
      </c>
      <c r="D17" s="23"/>
      <c r="E17" s="20">
        <v>0.0</v>
      </c>
      <c r="F17" s="23"/>
      <c r="G17" s="12"/>
      <c r="H17" s="23"/>
      <c r="I17" s="12"/>
      <c r="J17" s="23"/>
      <c r="K17" s="12"/>
      <c r="L17" s="23"/>
      <c r="M17" s="12"/>
      <c r="N17" s="23"/>
      <c r="O17" s="12"/>
    </row>
    <row r="18">
      <c r="A18" s="20">
        <v>0.0</v>
      </c>
      <c r="B18" s="23"/>
      <c r="C18" s="20">
        <v>0.0</v>
      </c>
      <c r="D18" s="23"/>
      <c r="E18" s="20">
        <v>0.0</v>
      </c>
      <c r="F18" s="23"/>
      <c r="G18" s="12"/>
      <c r="H18" s="23"/>
      <c r="I18" s="12"/>
      <c r="J18" s="23"/>
      <c r="K18" s="12"/>
      <c r="L18" s="23"/>
      <c r="M18" s="12"/>
      <c r="N18" s="23"/>
      <c r="O18" s="12"/>
    </row>
    <row r="19">
      <c r="A19" s="20">
        <v>0.0</v>
      </c>
      <c r="B19" s="24"/>
      <c r="C19" s="20">
        <v>0.0</v>
      </c>
      <c r="D19" s="23"/>
      <c r="E19" s="20">
        <v>0.0</v>
      </c>
      <c r="F19" s="23"/>
      <c r="G19" s="12"/>
      <c r="H19" s="23"/>
      <c r="I19" s="12"/>
      <c r="J19" s="23"/>
      <c r="K19" s="12"/>
      <c r="L19" s="23"/>
      <c r="M19" s="12"/>
      <c r="N19" s="23"/>
      <c r="O19" s="12"/>
    </row>
    <row r="20">
      <c r="A20" s="20">
        <v>0.0</v>
      </c>
      <c r="B20" s="24"/>
      <c r="C20" s="20">
        <v>0.0</v>
      </c>
      <c r="D20" s="9"/>
      <c r="E20" s="20">
        <v>0.0</v>
      </c>
      <c r="F20" s="23"/>
      <c r="G20" s="12"/>
      <c r="H20" s="23"/>
      <c r="I20" s="12"/>
      <c r="J20" s="23"/>
      <c r="K20" s="12"/>
      <c r="L20" s="23"/>
      <c r="M20" s="12"/>
      <c r="N20" s="23"/>
      <c r="O20" s="12"/>
    </row>
    <row r="21">
      <c r="A21" s="20">
        <v>0.0</v>
      </c>
      <c r="B21" s="24"/>
      <c r="C21" s="20">
        <v>0.0</v>
      </c>
      <c r="D21" s="23"/>
      <c r="E21" s="20">
        <v>0.0</v>
      </c>
      <c r="F21" s="23"/>
      <c r="G21" s="12"/>
      <c r="H21" s="23"/>
      <c r="I21" s="12"/>
      <c r="J21" s="23"/>
      <c r="K21" s="12"/>
      <c r="L21" s="23"/>
      <c r="M21" s="12"/>
      <c r="N21" s="23"/>
      <c r="O21" s="12"/>
    </row>
    <row r="22">
      <c r="A22" s="20">
        <v>0.0</v>
      </c>
      <c r="B22" s="23"/>
      <c r="C22" s="20">
        <v>0.0</v>
      </c>
      <c r="D22" s="23"/>
      <c r="E22" s="20">
        <v>0.0</v>
      </c>
      <c r="F22" s="23"/>
      <c r="G22" s="12"/>
      <c r="H22" s="23"/>
      <c r="I22" s="12"/>
      <c r="J22" s="23"/>
      <c r="K22" s="12"/>
      <c r="L22" s="23"/>
      <c r="M22" s="12"/>
      <c r="N22" s="23"/>
      <c r="O22" s="12"/>
    </row>
    <row r="23">
      <c r="A23" s="20">
        <v>0.0</v>
      </c>
      <c r="B23" s="23"/>
      <c r="C23" s="20">
        <v>0.0</v>
      </c>
      <c r="D23" s="23"/>
      <c r="E23" s="20">
        <v>0.0</v>
      </c>
      <c r="F23" s="23"/>
      <c r="G23" s="12"/>
      <c r="H23" s="9"/>
      <c r="I23" s="12"/>
      <c r="J23" s="23"/>
      <c r="K23" s="12"/>
      <c r="L23" s="23"/>
      <c r="M23" s="12"/>
      <c r="N23" s="23"/>
      <c r="O23" s="12"/>
    </row>
    <row r="24">
      <c r="A24" s="20">
        <v>0.0</v>
      </c>
      <c r="B24" s="23"/>
      <c r="C24" s="20">
        <v>0.0</v>
      </c>
      <c r="D24" s="23"/>
      <c r="E24" s="20">
        <v>0.0</v>
      </c>
      <c r="F24" s="23"/>
      <c r="G24" s="12"/>
      <c r="H24" s="23"/>
      <c r="I24" s="12"/>
      <c r="J24" s="23"/>
      <c r="K24" s="12"/>
      <c r="L24" s="23"/>
      <c r="M24" s="12"/>
      <c r="N24" s="23"/>
      <c r="O24" s="12"/>
    </row>
    <row r="25">
      <c r="A25" s="20">
        <v>0.0</v>
      </c>
      <c r="B25" s="23"/>
      <c r="C25" s="20">
        <v>0.0</v>
      </c>
      <c r="D25" s="23"/>
      <c r="E25" s="20">
        <v>0.0</v>
      </c>
      <c r="F25" s="23"/>
      <c r="G25" s="12"/>
      <c r="H25" s="23"/>
      <c r="I25" s="12"/>
      <c r="J25" s="23"/>
      <c r="K25" s="12"/>
      <c r="L25" s="23"/>
      <c r="M25" s="12"/>
      <c r="N25" s="23"/>
      <c r="O25" s="12"/>
    </row>
    <row r="26">
      <c r="A26" s="20">
        <v>0.0</v>
      </c>
      <c r="B26" s="23"/>
      <c r="C26" s="20">
        <v>0.0</v>
      </c>
      <c r="D26" s="23"/>
      <c r="E26" s="20">
        <v>0.0</v>
      </c>
      <c r="F26" s="23"/>
      <c r="G26" s="12"/>
      <c r="H26" s="23"/>
      <c r="I26" s="12"/>
      <c r="J26" s="23"/>
      <c r="K26" s="12"/>
      <c r="L26" s="23"/>
      <c r="M26" s="12"/>
      <c r="N26" s="23"/>
      <c r="O26" s="12"/>
    </row>
    <row r="27">
      <c r="A27" s="20">
        <v>0.0</v>
      </c>
      <c r="B27" s="23"/>
      <c r="C27" s="20">
        <v>0.0</v>
      </c>
      <c r="D27" s="23"/>
      <c r="E27" s="20">
        <v>0.0</v>
      </c>
      <c r="F27" s="23"/>
      <c r="G27" s="12"/>
      <c r="H27" s="23"/>
      <c r="I27" s="12"/>
      <c r="J27" s="23"/>
      <c r="K27" s="12"/>
      <c r="L27" s="23"/>
      <c r="M27" s="12"/>
      <c r="N27" s="23"/>
      <c r="O27" s="12"/>
    </row>
    <row r="28">
      <c r="A28" s="20">
        <v>0.0</v>
      </c>
      <c r="B28" s="23"/>
      <c r="C28" s="20">
        <v>0.0</v>
      </c>
      <c r="D28" s="23"/>
      <c r="E28" s="20">
        <v>0.0</v>
      </c>
      <c r="F28" s="23"/>
      <c r="G28" s="12"/>
      <c r="H28" s="23"/>
      <c r="I28" s="12"/>
      <c r="J28" s="23"/>
      <c r="K28" s="12"/>
      <c r="L28" s="23"/>
      <c r="M28" s="12"/>
      <c r="N28" s="23"/>
      <c r="O28" s="12"/>
    </row>
    <row r="29">
      <c r="A29" s="20">
        <v>0.0</v>
      </c>
      <c r="B29" s="23"/>
      <c r="C29" s="20">
        <v>0.0</v>
      </c>
      <c r="D29" s="23"/>
      <c r="E29" s="20">
        <v>0.0</v>
      </c>
      <c r="F29" s="23"/>
      <c r="G29" s="12"/>
      <c r="H29" s="23"/>
      <c r="I29" s="12"/>
      <c r="J29" s="23"/>
      <c r="K29" s="12"/>
      <c r="L29" s="23"/>
      <c r="M29" s="12"/>
      <c r="N29" s="23"/>
      <c r="O29" s="12"/>
    </row>
    <row r="30">
      <c r="A30" s="26">
        <f>SUM(A3:A29)</f>
        <v>120</v>
      </c>
      <c r="B30" s="23"/>
      <c r="C30" s="26">
        <f>SUM(C3:C29)</f>
        <v>120</v>
      </c>
      <c r="D30" s="26"/>
      <c r="E30" s="26">
        <f>SUM(E3:E29)</f>
        <v>120</v>
      </c>
      <c r="F30" s="26"/>
      <c r="G30" s="26"/>
      <c r="H30" s="23"/>
      <c r="I30" s="26"/>
      <c r="J30" s="23"/>
      <c r="K30" s="26"/>
      <c r="L30" s="23"/>
      <c r="M30" s="26"/>
      <c r="N30" s="23"/>
      <c r="O30" s="26"/>
    </row>
    <row r="31">
      <c r="A31" s="7" t="s">
        <v>12</v>
      </c>
      <c r="B31" s="28">
        <f>A30+C30+E30+G30+I30+K30</f>
        <v>360</v>
      </c>
    </row>
    <row r="32">
      <c r="A32" s="29"/>
      <c r="B32" s="30"/>
      <c r="C32" s="31"/>
      <c r="D32" s="23"/>
      <c r="E32" s="32"/>
      <c r="F32" s="23"/>
      <c r="G32" s="32"/>
      <c r="H32" s="23"/>
      <c r="I32" s="32"/>
      <c r="J32" s="23"/>
      <c r="K32" s="32"/>
    </row>
    <row r="36">
      <c r="E36" s="33"/>
    </row>
    <row r="37">
      <c r="E37" s="33"/>
    </row>
  </sheetData>
  <mergeCells count="2">
    <mergeCell ref="A1:K1"/>
    <mergeCell ref="B31:K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5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218.0</v>
      </c>
      <c r="B2" s="5" t="s">
        <v>1</v>
      </c>
      <c r="C2" s="4">
        <v>304.0</v>
      </c>
      <c r="D2" s="5" t="s">
        <v>1</v>
      </c>
      <c r="E2" s="4">
        <v>404.0</v>
      </c>
      <c r="F2" s="5" t="s">
        <v>1</v>
      </c>
      <c r="G2" s="4">
        <v>803.0</v>
      </c>
      <c r="H2" s="5" t="s">
        <v>1</v>
      </c>
      <c r="I2" s="4">
        <v>916.0</v>
      </c>
      <c r="J2" s="5" t="s">
        <v>1</v>
      </c>
      <c r="K2" s="5" t="s">
        <v>2</v>
      </c>
      <c r="L2" s="23"/>
      <c r="M2" s="9"/>
      <c r="N2" s="23"/>
      <c r="O2" s="9" t="s">
        <v>2</v>
      </c>
    </row>
    <row r="3">
      <c r="A3" s="20">
        <v>30.0</v>
      </c>
      <c r="B3" s="9" t="s">
        <v>3</v>
      </c>
      <c r="C3" s="20">
        <v>30.0</v>
      </c>
      <c r="D3" s="9" t="s">
        <v>3</v>
      </c>
      <c r="E3" s="20">
        <v>30.0</v>
      </c>
      <c r="F3" s="9" t="s">
        <v>3</v>
      </c>
      <c r="G3" s="20">
        <v>30.0</v>
      </c>
      <c r="H3" s="9" t="s">
        <v>3</v>
      </c>
      <c r="I3" s="20">
        <v>30.0</v>
      </c>
      <c r="J3" s="9" t="s">
        <v>3</v>
      </c>
      <c r="K3" s="20">
        <v>0.0</v>
      </c>
      <c r="L3" s="23"/>
      <c r="M3" s="12"/>
      <c r="N3" s="23"/>
      <c r="O3" s="12">
        <v>0.0</v>
      </c>
    </row>
    <row r="4">
      <c r="A4" s="20">
        <f>2577.04+4300</f>
        <v>6877.04</v>
      </c>
      <c r="B4" s="13" t="s">
        <v>4</v>
      </c>
      <c r="C4" s="20">
        <v>6800.0</v>
      </c>
      <c r="D4" s="13" t="s">
        <v>4</v>
      </c>
      <c r="E4" s="20">
        <v>6500.0</v>
      </c>
      <c r="F4" s="13" t="s">
        <v>4</v>
      </c>
      <c r="G4" s="20">
        <f>2034.4+4765.6</f>
        <v>6800</v>
      </c>
      <c r="H4" s="13" t="s">
        <v>4</v>
      </c>
      <c r="I4" s="20">
        <v>6680.0</v>
      </c>
      <c r="J4" s="13" t="s">
        <v>4</v>
      </c>
      <c r="K4" s="20">
        <v>0.0</v>
      </c>
      <c r="L4" s="23"/>
      <c r="M4" s="12"/>
      <c r="N4" s="23"/>
      <c r="O4" s="12">
        <v>0.0</v>
      </c>
    </row>
    <row r="5">
      <c r="A5" s="20">
        <v>0.0</v>
      </c>
      <c r="B5" s="13" t="s">
        <v>5</v>
      </c>
      <c r="C5" s="20">
        <v>0.0</v>
      </c>
      <c r="D5" s="13" t="s">
        <v>5</v>
      </c>
      <c r="E5" s="20">
        <v>0.0</v>
      </c>
      <c r="F5" s="13" t="s">
        <v>5</v>
      </c>
      <c r="G5" s="20">
        <v>0.0</v>
      </c>
      <c r="H5" s="13" t="s">
        <v>5</v>
      </c>
      <c r="I5" s="20">
        <v>0.0</v>
      </c>
      <c r="J5" s="13" t="s">
        <v>5</v>
      </c>
      <c r="K5" s="20">
        <v>0.0</v>
      </c>
      <c r="L5" s="23"/>
      <c r="M5" s="12"/>
      <c r="N5" s="23"/>
      <c r="O5" s="12">
        <v>0.0</v>
      </c>
    </row>
    <row r="6">
      <c r="A6" s="20">
        <v>0.0</v>
      </c>
      <c r="B6" s="14" t="s">
        <v>4</v>
      </c>
      <c r="C6" s="20">
        <v>0.0</v>
      </c>
      <c r="D6" s="14" t="s">
        <v>6</v>
      </c>
      <c r="E6" s="20">
        <v>0.0</v>
      </c>
      <c r="F6" s="14" t="s">
        <v>6</v>
      </c>
      <c r="G6" s="20">
        <v>0.0</v>
      </c>
      <c r="H6" s="14" t="s">
        <v>6</v>
      </c>
      <c r="I6" s="20">
        <v>0.0</v>
      </c>
      <c r="J6" s="14" t="s">
        <v>6</v>
      </c>
      <c r="K6" s="20">
        <v>0.0</v>
      </c>
      <c r="L6" s="23"/>
      <c r="M6" s="12"/>
      <c r="N6" s="23"/>
      <c r="O6" s="12">
        <v>0.0</v>
      </c>
    </row>
    <row r="7">
      <c r="A7" s="20">
        <v>0.0</v>
      </c>
      <c r="B7" s="15" t="s">
        <v>7</v>
      </c>
      <c r="C7" s="20">
        <v>0.0</v>
      </c>
      <c r="D7" s="15" t="s">
        <v>7</v>
      </c>
      <c r="E7" s="20">
        <v>0.0</v>
      </c>
      <c r="F7" s="15" t="s">
        <v>7</v>
      </c>
      <c r="G7" s="20">
        <v>0.0</v>
      </c>
      <c r="H7" s="15" t="s">
        <v>7</v>
      </c>
      <c r="I7" s="20">
        <v>0.0</v>
      </c>
      <c r="J7" s="15" t="s">
        <v>7</v>
      </c>
      <c r="K7" s="20">
        <v>0.0</v>
      </c>
      <c r="L7" s="23"/>
      <c r="M7" s="12"/>
      <c r="N7" s="23"/>
      <c r="O7" s="12">
        <v>0.0</v>
      </c>
    </row>
    <row r="8">
      <c r="A8" s="20">
        <v>266.33</v>
      </c>
      <c r="B8" s="15" t="s">
        <v>8</v>
      </c>
      <c r="C8" s="20">
        <v>266.33</v>
      </c>
      <c r="D8" s="15" t="s">
        <v>8</v>
      </c>
      <c r="E8" s="20">
        <v>266.3</v>
      </c>
      <c r="F8" s="15" t="s">
        <v>8</v>
      </c>
      <c r="G8" s="20">
        <v>266.33</v>
      </c>
      <c r="H8" s="15" t="s">
        <v>8</v>
      </c>
      <c r="I8" s="20">
        <v>266.33</v>
      </c>
      <c r="J8" s="15" t="s">
        <v>8</v>
      </c>
      <c r="K8" s="20">
        <v>0.0</v>
      </c>
      <c r="L8" s="23"/>
      <c r="M8" s="12"/>
      <c r="N8" s="23"/>
      <c r="O8" s="12">
        <v>0.0</v>
      </c>
    </row>
    <row r="9">
      <c r="A9" s="20">
        <v>90.0</v>
      </c>
      <c r="B9" s="15" t="s">
        <v>9</v>
      </c>
      <c r="C9" s="20">
        <v>90.0</v>
      </c>
      <c r="D9" s="15" t="s">
        <v>9</v>
      </c>
      <c r="E9" s="20">
        <v>90.0</v>
      </c>
      <c r="F9" s="15" t="s">
        <v>9</v>
      </c>
      <c r="G9" s="20">
        <f>90+35</f>
        <v>125</v>
      </c>
      <c r="H9" s="15" t="s">
        <v>9</v>
      </c>
      <c r="I9" s="20">
        <v>90.0</v>
      </c>
      <c r="J9" s="15" t="s">
        <v>9</v>
      </c>
      <c r="K9" s="20">
        <v>0.0</v>
      </c>
      <c r="L9" s="23"/>
      <c r="M9" s="12"/>
      <c r="N9" s="23"/>
      <c r="O9" s="12">
        <v>0.0</v>
      </c>
    </row>
    <row r="10">
      <c r="A10" s="18">
        <v>0.0</v>
      </c>
      <c r="B10" s="17" t="s">
        <v>10</v>
      </c>
      <c r="C10" s="18">
        <v>0.0</v>
      </c>
      <c r="D10" s="17" t="s">
        <v>10</v>
      </c>
      <c r="E10" s="18">
        <v>0.0</v>
      </c>
      <c r="F10" s="17" t="s">
        <v>10</v>
      </c>
      <c r="G10" s="18">
        <v>0.0</v>
      </c>
      <c r="H10" s="17" t="s">
        <v>10</v>
      </c>
      <c r="I10" s="18">
        <v>0.0</v>
      </c>
      <c r="J10" s="17" t="s">
        <v>10</v>
      </c>
      <c r="K10" s="20">
        <v>0.0</v>
      </c>
      <c r="L10" s="23"/>
      <c r="M10" s="12"/>
      <c r="N10" s="23"/>
      <c r="O10" s="12">
        <v>0.0</v>
      </c>
    </row>
    <row r="11">
      <c r="A11" s="20">
        <v>0.0</v>
      </c>
      <c r="B11" s="19"/>
      <c r="C11" s="20">
        <v>0.0</v>
      </c>
      <c r="D11" s="19"/>
      <c r="E11" s="18">
        <v>0.0</v>
      </c>
      <c r="F11" s="19"/>
      <c r="G11" s="18">
        <v>0.0</v>
      </c>
      <c r="H11" s="19"/>
      <c r="I11" s="18">
        <v>0.0</v>
      </c>
      <c r="J11" s="19" t="s">
        <v>14</v>
      </c>
      <c r="K11" s="20">
        <v>0.0</v>
      </c>
      <c r="L11" s="23"/>
      <c r="M11" s="12"/>
      <c r="N11" s="23"/>
      <c r="O11" s="12">
        <v>0.0</v>
      </c>
    </row>
    <row r="12">
      <c r="A12" s="20">
        <v>0.0</v>
      </c>
      <c r="B12" s="21"/>
      <c r="C12" s="20">
        <v>0.0</v>
      </c>
      <c r="D12" s="21"/>
      <c r="E12" s="18">
        <v>0.0</v>
      </c>
      <c r="F12" s="21"/>
      <c r="G12" s="18">
        <v>0.0</v>
      </c>
      <c r="H12" s="21"/>
      <c r="I12" s="18">
        <v>0.0</v>
      </c>
      <c r="J12" s="21" t="s">
        <v>10</v>
      </c>
      <c r="K12" s="20">
        <v>0.0</v>
      </c>
      <c r="L12" s="23"/>
      <c r="M12" s="12"/>
      <c r="N12" s="23"/>
      <c r="O12" s="12">
        <v>0.0</v>
      </c>
    </row>
    <row r="13">
      <c r="A13" s="20">
        <v>0.0</v>
      </c>
      <c r="B13" s="20"/>
      <c r="C13" s="20">
        <v>0.0</v>
      </c>
      <c r="D13" s="23"/>
      <c r="E13" s="18">
        <v>0.0</v>
      </c>
      <c r="F13" s="23"/>
      <c r="G13" s="18">
        <v>0.0</v>
      </c>
      <c r="H13" s="23"/>
      <c r="I13" s="18">
        <v>0.0</v>
      </c>
      <c r="J13" s="23"/>
      <c r="K13" s="20">
        <v>0.0</v>
      </c>
      <c r="L13" s="23"/>
      <c r="M13" s="12"/>
      <c r="N13" s="23"/>
      <c r="O13" s="12">
        <v>0.0</v>
      </c>
    </row>
    <row r="14">
      <c r="A14" s="20">
        <v>0.0</v>
      </c>
      <c r="B14" s="24"/>
      <c r="C14" s="20">
        <v>0.0</v>
      </c>
      <c r="D14" s="23"/>
      <c r="E14" s="18">
        <v>0.0</v>
      </c>
      <c r="F14" s="23"/>
      <c r="G14" s="18">
        <v>0.0</v>
      </c>
      <c r="H14" s="23"/>
      <c r="I14" s="18">
        <v>0.0</v>
      </c>
      <c r="J14" s="23"/>
      <c r="K14" s="20">
        <v>0.0</v>
      </c>
      <c r="L14" s="23"/>
      <c r="M14" s="12"/>
      <c r="N14" s="23"/>
      <c r="O14" s="12">
        <v>0.0</v>
      </c>
    </row>
    <row r="15">
      <c r="A15" s="20">
        <v>0.0</v>
      </c>
      <c r="B15" s="24"/>
      <c r="C15" s="20">
        <v>0.0</v>
      </c>
      <c r="D15" s="23"/>
      <c r="E15" s="18">
        <v>0.0</v>
      </c>
      <c r="F15" s="23"/>
      <c r="G15" s="18">
        <v>0.0</v>
      </c>
      <c r="H15" s="23"/>
      <c r="I15" s="18">
        <v>0.0</v>
      </c>
      <c r="J15" s="20"/>
      <c r="K15" s="20">
        <v>0.0</v>
      </c>
      <c r="L15" s="23"/>
      <c r="M15" s="12"/>
      <c r="N15" s="23"/>
      <c r="O15" s="12">
        <v>0.0</v>
      </c>
    </row>
    <row r="16">
      <c r="A16" s="20">
        <v>0.0</v>
      </c>
      <c r="B16" s="24"/>
      <c r="C16" s="20">
        <v>0.0</v>
      </c>
      <c r="D16" s="23"/>
      <c r="E16" s="18">
        <v>0.0</v>
      </c>
      <c r="F16" s="23"/>
      <c r="G16" s="18">
        <v>0.0</v>
      </c>
      <c r="H16" s="23"/>
      <c r="I16" s="18">
        <v>0.0</v>
      </c>
      <c r="J16" s="23"/>
      <c r="K16" s="20">
        <v>0.0</v>
      </c>
      <c r="L16" s="23"/>
      <c r="M16" s="12"/>
      <c r="N16" s="23"/>
      <c r="O16" s="12">
        <v>0.0</v>
      </c>
    </row>
    <row r="17">
      <c r="A17" s="20">
        <v>0.0</v>
      </c>
      <c r="B17" s="24"/>
      <c r="C17" s="20">
        <v>0.0</v>
      </c>
      <c r="D17" s="23"/>
      <c r="E17" s="18">
        <v>0.0</v>
      </c>
      <c r="F17" s="23"/>
      <c r="G17" s="18">
        <v>0.0</v>
      </c>
      <c r="H17" s="23"/>
      <c r="I17" s="18">
        <v>0.0</v>
      </c>
      <c r="J17" s="23"/>
      <c r="K17" s="20">
        <v>0.0</v>
      </c>
      <c r="L17" s="23"/>
      <c r="M17" s="12"/>
      <c r="N17" s="23"/>
      <c r="O17" s="12">
        <v>0.0</v>
      </c>
    </row>
    <row r="18">
      <c r="A18" s="20">
        <v>0.0</v>
      </c>
      <c r="B18" s="23"/>
      <c r="C18" s="20">
        <v>0.0</v>
      </c>
      <c r="D18" s="23"/>
      <c r="E18" s="18">
        <v>0.0</v>
      </c>
      <c r="F18" s="23"/>
      <c r="G18" s="18">
        <v>0.0</v>
      </c>
      <c r="H18" s="23"/>
      <c r="I18" s="18">
        <v>0.0</v>
      </c>
      <c r="J18" s="23"/>
      <c r="K18" s="20">
        <v>0.0</v>
      </c>
      <c r="L18" s="23"/>
      <c r="M18" s="12"/>
      <c r="N18" s="23"/>
      <c r="O18" s="12">
        <v>0.0</v>
      </c>
    </row>
    <row r="19">
      <c r="A19" s="20">
        <v>0.0</v>
      </c>
      <c r="B19" s="24"/>
      <c r="C19" s="20">
        <v>0.0</v>
      </c>
      <c r="D19" s="23"/>
      <c r="E19" s="18">
        <v>0.0</v>
      </c>
      <c r="F19" s="23"/>
      <c r="G19" s="18">
        <v>0.0</v>
      </c>
      <c r="H19" s="23"/>
      <c r="I19" s="18">
        <v>0.0</v>
      </c>
      <c r="J19" s="23"/>
      <c r="K19" s="20">
        <v>0.0</v>
      </c>
      <c r="L19" s="23"/>
      <c r="M19" s="12"/>
      <c r="N19" s="23"/>
      <c r="O19" s="12">
        <v>0.0</v>
      </c>
    </row>
    <row r="20">
      <c r="A20" s="20">
        <v>0.0</v>
      </c>
      <c r="B20" s="24"/>
      <c r="C20" s="20">
        <v>0.0</v>
      </c>
      <c r="D20" s="9"/>
      <c r="E20" s="18">
        <v>0.0</v>
      </c>
      <c r="F20" s="23"/>
      <c r="G20" s="18">
        <v>0.0</v>
      </c>
      <c r="H20" s="23"/>
      <c r="I20" s="18">
        <v>0.0</v>
      </c>
      <c r="J20" s="23"/>
      <c r="K20" s="20">
        <v>0.0</v>
      </c>
      <c r="L20" s="23"/>
      <c r="M20" s="12"/>
      <c r="N20" s="23"/>
      <c r="O20" s="12">
        <v>0.0</v>
      </c>
    </row>
    <row r="21">
      <c r="A21" s="20">
        <v>0.0</v>
      </c>
      <c r="B21" s="24"/>
      <c r="C21" s="20">
        <v>0.0</v>
      </c>
      <c r="D21" s="23"/>
      <c r="E21" s="18">
        <v>0.0</v>
      </c>
      <c r="F21" s="23"/>
      <c r="G21" s="18">
        <v>0.0</v>
      </c>
      <c r="H21" s="23"/>
      <c r="I21" s="18">
        <v>0.0</v>
      </c>
      <c r="J21" s="23"/>
      <c r="K21" s="20">
        <v>0.0</v>
      </c>
      <c r="L21" s="23"/>
      <c r="M21" s="12"/>
      <c r="N21" s="23"/>
      <c r="O21" s="12">
        <v>0.0</v>
      </c>
    </row>
    <row r="22">
      <c r="A22" s="20">
        <v>0.0</v>
      </c>
      <c r="B22" s="23"/>
      <c r="C22" s="20">
        <v>0.0</v>
      </c>
      <c r="D22" s="23"/>
      <c r="E22" s="18">
        <v>0.0</v>
      </c>
      <c r="F22" s="23"/>
      <c r="G22" s="18">
        <v>0.0</v>
      </c>
      <c r="H22" s="23"/>
      <c r="I22" s="18">
        <v>0.0</v>
      </c>
      <c r="J22" s="23"/>
      <c r="K22" s="20">
        <v>0.0</v>
      </c>
      <c r="L22" s="23"/>
      <c r="M22" s="12"/>
      <c r="N22" s="23"/>
      <c r="O22" s="12">
        <v>0.0</v>
      </c>
    </row>
    <row r="23">
      <c r="A23" s="20">
        <v>0.0</v>
      </c>
      <c r="B23" s="23"/>
      <c r="C23" s="20">
        <v>0.0</v>
      </c>
      <c r="D23" s="23"/>
      <c r="E23" s="18">
        <v>0.0</v>
      </c>
      <c r="F23" s="23"/>
      <c r="G23" s="18">
        <v>0.0</v>
      </c>
      <c r="H23" s="9"/>
      <c r="I23" s="18">
        <v>0.0</v>
      </c>
      <c r="J23" s="23"/>
      <c r="K23" s="20">
        <v>0.0</v>
      </c>
      <c r="L23" s="23"/>
      <c r="M23" s="12"/>
      <c r="N23" s="23"/>
      <c r="O23" s="12">
        <v>0.0</v>
      </c>
    </row>
    <row r="24">
      <c r="A24" s="20">
        <v>0.0</v>
      </c>
      <c r="B24" s="23"/>
      <c r="C24" s="20">
        <v>0.0</v>
      </c>
      <c r="D24" s="23"/>
      <c r="E24" s="18">
        <v>0.0</v>
      </c>
      <c r="F24" s="23"/>
      <c r="G24" s="18">
        <v>0.0</v>
      </c>
      <c r="H24" s="23"/>
      <c r="I24" s="18">
        <v>0.0</v>
      </c>
      <c r="J24" s="23"/>
      <c r="K24" s="20">
        <v>0.0</v>
      </c>
      <c r="L24" s="23"/>
      <c r="M24" s="12"/>
      <c r="N24" s="23"/>
      <c r="O24" s="12">
        <v>0.0</v>
      </c>
    </row>
    <row r="25">
      <c r="A25" s="20">
        <v>0.0</v>
      </c>
      <c r="B25" s="23"/>
      <c r="C25" s="20">
        <v>0.0</v>
      </c>
      <c r="D25" s="23"/>
      <c r="E25" s="18">
        <v>0.0</v>
      </c>
      <c r="F25" s="23"/>
      <c r="G25" s="18">
        <v>0.0</v>
      </c>
      <c r="H25" s="23"/>
      <c r="I25" s="18">
        <v>0.0</v>
      </c>
      <c r="J25" s="23"/>
      <c r="K25" s="20">
        <v>0.0</v>
      </c>
      <c r="L25" s="23"/>
      <c r="M25" s="12"/>
      <c r="N25" s="23"/>
      <c r="O25" s="12">
        <v>0.0</v>
      </c>
    </row>
    <row r="26">
      <c r="A26" s="20">
        <v>0.0</v>
      </c>
      <c r="B26" s="23"/>
      <c r="C26" s="20">
        <v>0.0</v>
      </c>
      <c r="D26" s="23"/>
      <c r="E26" s="18">
        <v>0.0</v>
      </c>
      <c r="F26" s="23"/>
      <c r="G26" s="18">
        <v>0.0</v>
      </c>
      <c r="H26" s="23"/>
      <c r="I26" s="18">
        <v>0.0</v>
      </c>
      <c r="J26" s="23"/>
      <c r="K26" s="20">
        <v>0.0</v>
      </c>
      <c r="L26" s="23"/>
      <c r="M26" s="12"/>
      <c r="N26" s="23"/>
      <c r="O26" s="12">
        <v>0.0</v>
      </c>
    </row>
    <row r="27">
      <c r="A27" s="20">
        <v>0.0</v>
      </c>
      <c r="B27" s="23"/>
      <c r="C27" s="20">
        <v>0.0</v>
      </c>
      <c r="D27" s="23"/>
      <c r="E27" s="18">
        <v>0.0</v>
      </c>
      <c r="F27" s="23"/>
      <c r="G27" s="18">
        <v>0.0</v>
      </c>
      <c r="H27" s="23"/>
      <c r="I27" s="18">
        <v>0.0</v>
      </c>
      <c r="J27" s="23"/>
      <c r="K27" s="20">
        <v>0.0</v>
      </c>
      <c r="L27" s="23"/>
      <c r="M27" s="12"/>
      <c r="N27" s="23"/>
      <c r="O27" s="12">
        <v>0.0</v>
      </c>
    </row>
    <row r="28">
      <c r="A28" s="20">
        <v>0.0</v>
      </c>
      <c r="B28" s="23"/>
      <c r="C28" s="20">
        <v>0.0</v>
      </c>
      <c r="D28" s="23"/>
      <c r="E28" s="18">
        <v>0.0</v>
      </c>
      <c r="F28" s="23"/>
      <c r="G28" s="18">
        <v>0.0</v>
      </c>
      <c r="H28" s="23"/>
      <c r="I28" s="18">
        <v>0.0</v>
      </c>
      <c r="J28" s="23"/>
      <c r="K28" s="20">
        <v>0.0</v>
      </c>
      <c r="L28" s="23"/>
      <c r="M28" s="12"/>
      <c r="N28" s="23"/>
      <c r="O28" s="12">
        <v>0.0</v>
      </c>
    </row>
    <row r="29">
      <c r="A29" s="20">
        <v>0.0</v>
      </c>
      <c r="B29" s="23"/>
      <c r="C29" s="20">
        <v>0.0</v>
      </c>
      <c r="D29" s="23"/>
      <c r="E29" s="18">
        <v>0.0</v>
      </c>
      <c r="F29" s="23"/>
      <c r="G29" s="18">
        <v>0.0</v>
      </c>
      <c r="H29" s="23"/>
      <c r="I29" s="18">
        <v>0.0</v>
      </c>
      <c r="J29" s="23"/>
      <c r="K29" s="20">
        <v>0.0</v>
      </c>
      <c r="L29" s="23"/>
      <c r="M29" s="12"/>
      <c r="N29" s="23"/>
      <c r="O29" s="12">
        <v>0.0</v>
      </c>
    </row>
    <row r="30">
      <c r="A30" s="26">
        <f>SUM(A3:A29)</f>
        <v>7263.37</v>
      </c>
      <c r="B30" s="26"/>
      <c r="C30" s="26">
        <f>SUM(C3:C29)</f>
        <v>7186.33</v>
      </c>
      <c r="D30" s="26"/>
      <c r="E30" s="26">
        <f>SUM(E3:E29)</f>
        <v>6886.3</v>
      </c>
      <c r="F30" s="26"/>
      <c r="G30" s="26">
        <f>SUM(G3:G29)</f>
        <v>7221.33</v>
      </c>
      <c r="H30" s="26"/>
      <c r="I30" s="26">
        <f>SUM(I3:I29)</f>
        <v>7066.33</v>
      </c>
      <c r="J30" s="26"/>
      <c r="K30" s="26">
        <f>SUM(K3:K29)</f>
        <v>0</v>
      </c>
      <c r="L30" s="26"/>
      <c r="M30" s="26"/>
      <c r="N30" s="23"/>
      <c r="O30" s="26">
        <f>SUM(O3:O29)</f>
        <v>0</v>
      </c>
    </row>
    <row r="31">
      <c r="A31" s="7" t="s">
        <v>12</v>
      </c>
      <c r="B31" s="28">
        <f>A30+C30+E30+G30+I30+K30</f>
        <v>35623.66</v>
      </c>
      <c r="L31" s="28"/>
      <c r="M31" s="28"/>
      <c r="N31" s="28"/>
      <c r="O31" s="28"/>
    </row>
    <row r="32">
      <c r="A32" s="29"/>
      <c r="B32" s="30"/>
      <c r="C32" s="31"/>
      <c r="D32" s="23"/>
      <c r="E32" s="32"/>
      <c r="F32" s="23"/>
      <c r="G32" s="32"/>
      <c r="H32" s="23"/>
      <c r="I32" s="12">
        <v>7066.33</v>
      </c>
      <c r="J32" s="23"/>
      <c r="K32" s="32"/>
    </row>
    <row r="36">
      <c r="E36" s="33"/>
    </row>
    <row r="37">
      <c r="E37" s="33"/>
    </row>
  </sheetData>
  <mergeCells count="2">
    <mergeCell ref="A1:K1"/>
    <mergeCell ref="B31:K3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>
        <v>3.0</v>
      </c>
      <c r="B2" s="5" t="s">
        <v>1</v>
      </c>
      <c r="C2" s="4">
        <v>18.0</v>
      </c>
      <c r="D2" s="5" t="s">
        <v>1</v>
      </c>
      <c r="E2" s="4">
        <v>19.0</v>
      </c>
      <c r="F2" s="5" t="s">
        <v>1</v>
      </c>
      <c r="G2" s="4">
        <v>809.0</v>
      </c>
      <c r="H2" s="5" t="s">
        <v>1</v>
      </c>
      <c r="I2" s="4">
        <v>908.0</v>
      </c>
      <c r="J2" s="5" t="s">
        <v>1</v>
      </c>
      <c r="K2" s="4">
        <v>1115.0</v>
      </c>
      <c r="L2" s="5" t="s">
        <v>1</v>
      </c>
      <c r="M2" s="9"/>
      <c r="O2" s="9"/>
    </row>
    <row r="3">
      <c r="A3" s="20">
        <v>30.0</v>
      </c>
      <c r="B3" s="9" t="s">
        <v>3</v>
      </c>
      <c r="C3" s="20">
        <v>30.0</v>
      </c>
      <c r="D3" s="9" t="s">
        <v>3</v>
      </c>
      <c r="E3" s="20">
        <v>30.0</v>
      </c>
      <c r="F3" s="9" t="s">
        <v>3</v>
      </c>
      <c r="G3" s="20">
        <v>30.0</v>
      </c>
      <c r="H3" s="9" t="s">
        <v>3</v>
      </c>
      <c r="I3" s="20">
        <v>30.0</v>
      </c>
      <c r="J3" s="9" t="s">
        <v>3</v>
      </c>
      <c r="K3" s="20">
        <v>30.0</v>
      </c>
      <c r="L3" s="9" t="s">
        <v>3</v>
      </c>
      <c r="M3" s="33"/>
      <c r="O3" s="33"/>
    </row>
    <row r="4">
      <c r="A4" s="20">
        <v>4000.0</v>
      </c>
      <c r="B4" s="13" t="s">
        <v>4</v>
      </c>
      <c r="C4" s="20">
        <f>1424.89+2241.04</f>
        <v>3665.93</v>
      </c>
      <c r="D4" s="13" t="s">
        <v>4</v>
      </c>
      <c r="E4" s="20">
        <v>4300.0</v>
      </c>
      <c r="F4" s="13" t="s">
        <v>4</v>
      </c>
      <c r="G4" s="20">
        <v>4780.07</v>
      </c>
      <c r="H4" s="13" t="s">
        <v>4</v>
      </c>
      <c r="I4" s="20">
        <v>4200.0</v>
      </c>
      <c r="J4" s="13" t="s">
        <v>4</v>
      </c>
      <c r="K4" s="20">
        <f>5400</f>
        <v>5400</v>
      </c>
      <c r="L4" s="13" t="s">
        <v>4</v>
      </c>
      <c r="M4" s="33"/>
      <c r="O4" s="33"/>
    </row>
    <row r="5">
      <c r="A5" s="20">
        <v>0.0</v>
      </c>
      <c r="B5" s="13" t="s">
        <v>5</v>
      </c>
      <c r="C5" s="20">
        <v>144.73</v>
      </c>
      <c r="D5" s="13" t="s">
        <v>5</v>
      </c>
      <c r="E5" s="20">
        <v>135.94</v>
      </c>
      <c r="F5" s="13" t="s">
        <v>5</v>
      </c>
      <c r="G5" s="20">
        <v>0.0</v>
      </c>
      <c r="H5" s="13" t="s">
        <v>5</v>
      </c>
      <c r="I5" s="20">
        <v>0.0</v>
      </c>
      <c r="J5" s="13" t="s">
        <v>5</v>
      </c>
      <c r="K5" s="20">
        <v>0.0</v>
      </c>
      <c r="L5" s="13" t="s">
        <v>5</v>
      </c>
      <c r="M5" s="33"/>
      <c r="O5" s="33"/>
    </row>
    <row r="6">
      <c r="A6" s="20">
        <v>0.0</v>
      </c>
      <c r="B6" s="14" t="s">
        <v>4</v>
      </c>
      <c r="C6" s="20">
        <v>0.0</v>
      </c>
      <c r="D6" s="14" t="s">
        <v>4</v>
      </c>
      <c r="E6" s="20">
        <v>0.0</v>
      </c>
      <c r="F6" s="14" t="s">
        <v>4</v>
      </c>
      <c r="G6" s="20">
        <v>0.0</v>
      </c>
      <c r="H6" s="14" t="s">
        <v>4</v>
      </c>
      <c r="I6" s="20">
        <v>0.0</v>
      </c>
      <c r="J6" s="14" t="s">
        <v>4</v>
      </c>
      <c r="K6" s="20">
        <v>0.0</v>
      </c>
      <c r="L6" s="14" t="s">
        <v>4</v>
      </c>
      <c r="M6" s="33"/>
      <c r="O6" s="33"/>
    </row>
    <row r="7">
      <c r="A7" s="20">
        <v>0.0</v>
      </c>
      <c r="B7" s="15" t="s">
        <v>7</v>
      </c>
      <c r="C7" s="20">
        <v>0.0</v>
      </c>
      <c r="D7" s="15" t="s">
        <v>7</v>
      </c>
      <c r="E7" s="20">
        <v>0.0</v>
      </c>
      <c r="F7" s="15" t="s">
        <v>7</v>
      </c>
      <c r="G7" s="20">
        <v>0.0</v>
      </c>
      <c r="H7" s="15" t="s">
        <v>7</v>
      </c>
      <c r="I7" s="20">
        <v>0.0</v>
      </c>
      <c r="J7" s="15" t="s">
        <v>7</v>
      </c>
      <c r="K7" s="20">
        <v>0.0</v>
      </c>
      <c r="L7" s="15" t="s">
        <v>7</v>
      </c>
      <c r="M7" s="33"/>
      <c r="O7" s="33"/>
    </row>
    <row r="8">
      <c r="A8" s="20">
        <v>266.33</v>
      </c>
      <c r="B8" s="15" t="s">
        <v>8</v>
      </c>
      <c r="C8" s="20">
        <v>266.33</v>
      </c>
      <c r="D8" s="15" t="s">
        <v>8</v>
      </c>
      <c r="E8" s="20">
        <v>266.33</v>
      </c>
      <c r="F8" s="15" t="s">
        <v>8</v>
      </c>
      <c r="G8" s="20">
        <v>266.33</v>
      </c>
      <c r="H8" s="15" t="s">
        <v>8</v>
      </c>
      <c r="I8" s="20">
        <v>266.33</v>
      </c>
      <c r="J8" s="15" t="s">
        <v>8</v>
      </c>
      <c r="K8" s="20">
        <v>266.33</v>
      </c>
      <c r="L8" s="15" t="s">
        <v>8</v>
      </c>
      <c r="M8" s="33"/>
      <c r="O8" s="33"/>
    </row>
    <row r="9">
      <c r="A9" s="20">
        <v>90.0</v>
      </c>
      <c r="B9" s="15" t="s">
        <v>9</v>
      </c>
      <c r="C9" s="20">
        <v>90.0</v>
      </c>
      <c r="D9" s="15" t="s">
        <v>9</v>
      </c>
      <c r="E9" s="20">
        <v>90.0</v>
      </c>
      <c r="F9" s="15" t="s">
        <v>9</v>
      </c>
      <c r="G9" s="20">
        <v>90.0</v>
      </c>
      <c r="H9" s="15" t="s">
        <v>9</v>
      </c>
      <c r="I9" s="20">
        <v>90.0</v>
      </c>
      <c r="J9" s="15" t="s">
        <v>9</v>
      </c>
      <c r="K9" s="20">
        <v>90.0</v>
      </c>
      <c r="L9" s="15" t="s">
        <v>9</v>
      </c>
      <c r="M9" s="33"/>
      <c r="O9" s="33"/>
    </row>
    <row r="10">
      <c r="A10" s="20">
        <v>0.0</v>
      </c>
      <c r="B10" s="17" t="s">
        <v>10</v>
      </c>
      <c r="C10" s="20">
        <v>0.0</v>
      </c>
      <c r="D10" s="17" t="s">
        <v>10</v>
      </c>
      <c r="E10" s="20">
        <v>0.0</v>
      </c>
      <c r="F10" s="17" t="s">
        <v>10</v>
      </c>
      <c r="G10" s="20">
        <v>0.0</v>
      </c>
      <c r="H10" s="17" t="s">
        <v>10</v>
      </c>
      <c r="I10" s="20">
        <v>0.0</v>
      </c>
      <c r="J10" s="17" t="s">
        <v>10</v>
      </c>
      <c r="K10" s="20">
        <v>0.0</v>
      </c>
      <c r="L10" s="17" t="s">
        <v>10</v>
      </c>
      <c r="M10" s="33"/>
      <c r="O10" s="33"/>
    </row>
    <row r="11">
      <c r="A11" s="20">
        <v>0.0</v>
      </c>
      <c r="B11" s="19"/>
      <c r="C11" s="20">
        <v>0.0</v>
      </c>
      <c r="D11" s="23"/>
      <c r="E11" s="20">
        <v>0.0</v>
      </c>
      <c r="F11" s="23"/>
      <c r="G11" s="20">
        <v>0.0</v>
      </c>
      <c r="H11" s="23"/>
      <c r="I11" s="20">
        <v>0.0</v>
      </c>
      <c r="J11" s="23"/>
      <c r="K11" s="20">
        <v>0.0</v>
      </c>
      <c r="M11" s="33"/>
      <c r="O11" s="33"/>
    </row>
    <row r="12">
      <c r="A12" s="20">
        <v>0.0</v>
      </c>
      <c r="B12" s="21"/>
      <c r="C12" s="20">
        <v>0.0</v>
      </c>
      <c r="D12" s="23"/>
      <c r="E12" s="20">
        <v>0.0</v>
      </c>
      <c r="F12" s="23"/>
      <c r="G12" s="20">
        <v>0.0</v>
      </c>
      <c r="H12" s="23"/>
      <c r="I12" s="20">
        <v>0.0</v>
      </c>
      <c r="J12" s="23"/>
      <c r="K12" s="20">
        <v>0.0</v>
      </c>
      <c r="M12" s="33"/>
      <c r="O12" s="33"/>
    </row>
    <row r="13">
      <c r="A13" s="20">
        <v>0.0</v>
      </c>
      <c r="B13" s="9"/>
      <c r="C13" s="20">
        <v>0.0</v>
      </c>
      <c r="D13" s="23"/>
      <c r="E13" s="20">
        <v>0.0</v>
      </c>
      <c r="F13" s="23"/>
      <c r="G13" s="20">
        <v>0.0</v>
      </c>
      <c r="H13" s="23"/>
      <c r="I13" s="20">
        <v>0.0</v>
      </c>
      <c r="J13" s="23"/>
      <c r="K13" s="20">
        <v>0.0</v>
      </c>
      <c r="M13" s="33"/>
      <c r="O13" s="33"/>
    </row>
    <row r="14">
      <c r="A14" s="20">
        <v>0.0</v>
      </c>
      <c r="B14" s="24"/>
      <c r="C14" s="20">
        <v>0.0</v>
      </c>
      <c r="D14" s="20">
        <v>3665.9300000000003</v>
      </c>
      <c r="E14" s="20">
        <v>0.0</v>
      </c>
      <c r="F14" s="23"/>
      <c r="G14" s="20">
        <v>0.0</v>
      </c>
      <c r="H14" s="23"/>
      <c r="I14" s="20">
        <v>0.0</v>
      </c>
      <c r="J14" s="23"/>
      <c r="K14" s="20">
        <v>0.0</v>
      </c>
      <c r="M14" s="33"/>
      <c r="O14" s="33"/>
    </row>
    <row r="15">
      <c r="A15" s="20">
        <v>0.0</v>
      </c>
      <c r="B15" s="24"/>
      <c r="C15" s="20">
        <v>0.0</v>
      </c>
      <c r="D15" s="23"/>
      <c r="E15" s="20">
        <v>0.0</v>
      </c>
      <c r="F15" s="23"/>
      <c r="G15" s="20">
        <v>0.0</v>
      </c>
      <c r="H15" s="23"/>
      <c r="I15" s="20">
        <v>0.0</v>
      </c>
      <c r="J15" s="23"/>
      <c r="K15" s="20">
        <v>0.0</v>
      </c>
      <c r="M15" s="33"/>
      <c r="O15" s="33"/>
    </row>
    <row r="16">
      <c r="A16" s="20">
        <v>0.0</v>
      </c>
      <c r="B16" s="24"/>
      <c r="C16" s="20">
        <v>0.0</v>
      </c>
      <c r="D16" s="23"/>
      <c r="E16" s="20">
        <v>0.0</v>
      </c>
      <c r="F16" s="23"/>
      <c r="G16" s="20">
        <v>0.0</v>
      </c>
      <c r="H16" s="23"/>
      <c r="I16" s="20">
        <v>0.0</v>
      </c>
      <c r="J16" s="23"/>
      <c r="K16" s="20">
        <v>0.0</v>
      </c>
      <c r="M16" s="33"/>
      <c r="O16" s="33"/>
    </row>
    <row r="17">
      <c r="A17" s="20">
        <v>0.0</v>
      </c>
      <c r="B17" s="24"/>
      <c r="C17" s="20">
        <v>0.0</v>
      </c>
      <c r="D17" s="23"/>
      <c r="E17" s="20">
        <v>0.0</v>
      </c>
      <c r="F17" s="23"/>
      <c r="G17" s="20">
        <v>0.0</v>
      </c>
      <c r="H17" s="23"/>
      <c r="I17" s="20">
        <v>0.0</v>
      </c>
      <c r="J17" s="23"/>
      <c r="K17" s="20">
        <v>0.0</v>
      </c>
      <c r="M17" s="33"/>
      <c r="O17" s="33"/>
    </row>
    <row r="18">
      <c r="A18" s="20">
        <v>0.0</v>
      </c>
      <c r="B18" s="23"/>
      <c r="C18" s="20">
        <v>0.0</v>
      </c>
      <c r="D18" s="23"/>
      <c r="E18" s="20">
        <v>0.0</v>
      </c>
      <c r="F18" s="23"/>
      <c r="G18" s="20">
        <v>0.0</v>
      </c>
      <c r="H18" s="23"/>
      <c r="I18" s="20">
        <v>0.0</v>
      </c>
      <c r="J18" s="23"/>
      <c r="K18" s="20">
        <v>0.0</v>
      </c>
      <c r="M18" s="33"/>
      <c r="O18" s="33"/>
    </row>
    <row r="19">
      <c r="A19" s="20">
        <v>0.0</v>
      </c>
      <c r="B19" s="24"/>
      <c r="C19" s="20">
        <v>0.0</v>
      </c>
      <c r="D19" s="23"/>
      <c r="E19" s="20">
        <v>0.0</v>
      </c>
      <c r="F19" s="23"/>
      <c r="G19" s="20">
        <v>0.0</v>
      </c>
      <c r="H19" s="23"/>
      <c r="I19" s="20">
        <v>0.0</v>
      </c>
      <c r="J19" s="23"/>
      <c r="K19" s="20">
        <v>0.0</v>
      </c>
      <c r="M19" s="33"/>
      <c r="O19" s="33"/>
    </row>
    <row r="20">
      <c r="A20" s="20">
        <v>0.0</v>
      </c>
      <c r="B20" s="24"/>
      <c r="C20" s="20">
        <v>0.0</v>
      </c>
      <c r="D20" s="9"/>
      <c r="E20" s="20">
        <v>0.0</v>
      </c>
      <c r="F20" s="23"/>
      <c r="G20" s="20">
        <v>0.0</v>
      </c>
      <c r="H20" s="23"/>
      <c r="I20" s="20">
        <v>0.0</v>
      </c>
      <c r="J20" s="23"/>
      <c r="K20" s="20">
        <v>0.0</v>
      </c>
      <c r="M20" s="33"/>
      <c r="O20" s="33"/>
    </row>
    <row r="21">
      <c r="A21" s="20">
        <v>0.0</v>
      </c>
      <c r="B21" s="24"/>
      <c r="C21" s="20">
        <v>0.0</v>
      </c>
      <c r="D21" s="23"/>
      <c r="E21" s="20">
        <v>0.0</v>
      </c>
      <c r="F21" s="23"/>
      <c r="G21" s="20">
        <v>0.0</v>
      </c>
      <c r="H21" s="23"/>
      <c r="I21" s="20">
        <v>0.0</v>
      </c>
      <c r="J21" s="23"/>
      <c r="K21" s="20">
        <v>0.0</v>
      </c>
      <c r="M21" s="33"/>
      <c r="O21" s="33"/>
    </row>
    <row r="22">
      <c r="A22" s="20">
        <v>0.0</v>
      </c>
      <c r="B22" s="23"/>
      <c r="C22" s="20">
        <v>0.0</v>
      </c>
      <c r="D22" s="23"/>
      <c r="E22" s="20">
        <v>0.0</v>
      </c>
      <c r="F22" s="23"/>
      <c r="G22" s="20">
        <v>0.0</v>
      </c>
      <c r="H22" s="23"/>
      <c r="I22" s="20">
        <v>0.0</v>
      </c>
      <c r="J22" s="23"/>
      <c r="K22" s="20">
        <v>0.0</v>
      </c>
      <c r="M22" s="33"/>
      <c r="O22" s="33"/>
    </row>
    <row r="23">
      <c r="A23" s="20">
        <v>0.0</v>
      </c>
      <c r="B23" s="23"/>
      <c r="C23" s="20">
        <v>0.0</v>
      </c>
      <c r="D23" s="23"/>
      <c r="E23" s="20">
        <v>0.0</v>
      </c>
      <c r="F23" s="23"/>
      <c r="G23" s="20">
        <v>0.0</v>
      </c>
      <c r="H23" s="9"/>
      <c r="I23" s="20">
        <v>0.0</v>
      </c>
      <c r="J23" s="23"/>
      <c r="K23" s="20">
        <v>0.0</v>
      </c>
      <c r="M23" s="33"/>
      <c r="O23" s="33"/>
    </row>
    <row r="24">
      <c r="A24" s="20">
        <v>0.0</v>
      </c>
      <c r="B24" s="23"/>
      <c r="C24" s="20">
        <v>0.0</v>
      </c>
      <c r="D24" s="23"/>
      <c r="E24" s="20">
        <v>0.0</v>
      </c>
      <c r="F24" s="23"/>
      <c r="G24" s="20">
        <v>0.0</v>
      </c>
      <c r="H24" s="23"/>
      <c r="I24" s="20">
        <v>0.0</v>
      </c>
      <c r="J24" s="23"/>
      <c r="K24" s="20">
        <v>0.0</v>
      </c>
      <c r="M24" s="33"/>
      <c r="O24" s="33"/>
    </row>
    <row r="25">
      <c r="A25" s="20">
        <v>0.0</v>
      </c>
      <c r="B25" s="23"/>
      <c r="C25" s="20">
        <v>0.0</v>
      </c>
      <c r="D25" s="23"/>
      <c r="E25" s="20">
        <v>0.0</v>
      </c>
      <c r="F25" s="23"/>
      <c r="G25" s="20">
        <v>0.0</v>
      </c>
      <c r="H25" s="23"/>
      <c r="I25" s="20">
        <v>0.0</v>
      </c>
      <c r="J25" s="23"/>
      <c r="K25" s="20">
        <v>0.0</v>
      </c>
      <c r="M25" s="33"/>
      <c r="O25" s="33"/>
    </row>
    <row r="26">
      <c r="A26" s="20">
        <v>0.0</v>
      </c>
      <c r="B26" s="23"/>
      <c r="C26" s="20">
        <v>0.0</v>
      </c>
      <c r="D26" s="23"/>
      <c r="E26" s="20">
        <v>0.0</v>
      </c>
      <c r="F26" s="23"/>
      <c r="G26" s="20">
        <v>0.0</v>
      </c>
      <c r="H26" s="23"/>
      <c r="I26" s="20">
        <v>0.0</v>
      </c>
      <c r="J26" s="23"/>
      <c r="K26" s="20">
        <v>0.0</v>
      </c>
      <c r="M26" s="33"/>
      <c r="O26" s="33"/>
    </row>
    <row r="27">
      <c r="A27" s="20">
        <v>0.0</v>
      </c>
      <c r="B27" s="23"/>
      <c r="C27" s="20">
        <v>0.0</v>
      </c>
      <c r="D27" s="23"/>
      <c r="E27" s="20">
        <v>0.0</v>
      </c>
      <c r="F27" s="23"/>
      <c r="G27" s="20">
        <v>0.0</v>
      </c>
      <c r="H27" s="23"/>
      <c r="I27" s="20">
        <v>0.0</v>
      </c>
      <c r="J27" s="23"/>
      <c r="K27" s="20">
        <v>0.0</v>
      </c>
      <c r="M27" s="33"/>
      <c r="O27" s="33"/>
    </row>
    <row r="28">
      <c r="A28" s="20">
        <v>0.0</v>
      </c>
      <c r="B28" s="23"/>
      <c r="C28" s="20">
        <v>0.0</v>
      </c>
      <c r="D28" s="23"/>
      <c r="E28" s="20">
        <v>0.0</v>
      </c>
      <c r="F28" s="23"/>
      <c r="G28" s="20">
        <v>0.0</v>
      </c>
      <c r="H28" s="23"/>
      <c r="I28" s="20">
        <v>0.0</v>
      </c>
      <c r="J28" s="23"/>
      <c r="K28" s="20">
        <v>0.0</v>
      </c>
      <c r="M28" s="33"/>
      <c r="O28" s="33"/>
    </row>
    <row r="29">
      <c r="A29" s="20">
        <v>0.0</v>
      </c>
      <c r="B29" s="23"/>
      <c r="C29" s="20">
        <v>0.0</v>
      </c>
      <c r="D29" s="23"/>
      <c r="E29" s="20">
        <v>0.0</v>
      </c>
      <c r="F29" s="23"/>
      <c r="G29" s="20">
        <v>0.0</v>
      </c>
      <c r="H29" s="23"/>
      <c r="I29" s="20">
        <v>0.0</v>
      </c>
      <c r="J29" s="23"/>
      <c r="K29" s="20">
        <v>0.0</v>
      </c>
      <c r="M29" s="33"/>
      <c r="O29" s="33"/>
    </row>
    <row r="30">
      <c r="A30" s="26">
        <f>SUM(A3:A29)</f>
        <v>4386.33</v>
      </c>
      <c r="B30" s="26"/>
      <c r="C30" s="26">
        <f>SUM(C3:C29)</f>
        <v>4196.99</v>
      </c>
      <c r="D30" s="26"/>
      <c r="E30" s="26">
        <f>SUM(E3:E29)</f>
        <v>4822.27</v>
      </c>
      <c r="F30" s="26"/>
      <c r="G30" s="26">
        <f>SUM(G3:G29)</f>
        <v>5166.4</v>
      </c>
      <c r="H30" s="26"/>
      <c r="I30" s="26">
        <f>SUM(I3:I29)</f>
        <v>4586.33</v>
      </c>
      <c r="J30" s="26"/>
      <c r="K30" s="26">
        <f>SUM(K3:K29)</f>
        <v>5786.33</v>
      </c>
      <c r="L30" s="26"/>
      <c r="M30" s="26"/>
      <c r="O30" s="36"/>
    </row>
    <row r="31">
      <c r="A31" s="7" t="s">
        <v>12</v>
      </c>
      <c r="B31" s="28">
        <f>A30+C30+E30+G30+I30+K30</f>
        <v>28944.65</v>
      </c>
    </row>
    <row r="32">
      <c r="A32" s="29"/>
      <c r="B32" s="30"/>
      <c r="C32" s="31"/>
      <c r="D32" s="23"/>
      <c r="E32" s="32"/>
      <c r="F32" s="23"/>
      <c r="G32" s="32"/>
      <c r="H32" s="23"/>
      <c r="I32" s="32"/>
      <c r="J32" s="23"/>
      <c r="K32" s="12">
        <v>5786.33</v>
      </c>
    </row>
    <row r="33">
      <c r="C33" s="37">
        <v>4196.99</v>
      </c>
    </row>
    <row r="34">
      <c r="A34" s="37">
        <v>4386.33</v>
      </c>
    </row>
    <row r="36">
      <c r="E36" s="33"/>
    </row>
    <row r="37">
      <c r="E37" s="33"/>
    </row>
  </sheetData>
  <mergeCells count="2">
    <mergeCell ref="A1:M1"/>
    <mergeCell ref="B31:K3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6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19.0</v>
      </c>
      <c r="B2" s="5" t="s">
        <v>1</v>
      </c>
      <c r="C2" s="7" t="s">
        <v>2</v>
      </c>
      <c r="D2" s="5" t="s">
        <v>1</v>
      </c>
      <c r="E2" s="7"/>
      <c r="F2" s="38"/>
      <c r="G2" s="7"/>
      <c r="H2" s="27"/>
      <c r="I2" s="8"/>
      <c r="J2" s="27"/>
      <c r="K2" s="8"/>
      <c r="M2" s="9"/>
      <c r="O2" s="9"/>
    </row>
    <row r="3">
      <c r="A3" s="20">
        <v>30.0</v>
      </c>
      <c r="B3" s="9" t="s">
        <v>3</v>
      </c>
      <c r="C3" s="20">
        <v>0.0</v>
      </c>
      <c r="D3" s="9" t="s">
        <v>3</v>
      </c>
      <c r="E3" s="12"/>
      <c r="F3" s="23"/>
      <c r="G3" s="12"/>
      <c r="H3" s="23"/>
      <c r="I3" s="12"/>
      <c r="J3" s="23"/>
      <c r="K3" s="12"/>
      <c r="M3" s="33"/>
      <c r="O3" s="33"/>
    </row>
    <row r="4">
      <c r="A4" s="20">
        <v>3800.0</v>
      </c>
      <c r="B4" s="13" t="s">
        <v>4</v>
      </c>
      <c r="C4" s="20">
        <v>0.0</v>
      </c>
      <c r="D4" s="13" t="s">
        <v>4</v>
      </c>
      <c r="E4" s="12"/>
      <c r="F4" s="23"/>
      <c r="G4" s="12"/>
      <c r="H4" s="23"/>
      <c r="I4" s="12"/>
      <c r="J4" s="23"/>
      <c r="K4" s="12"/>
      <c r="M4" s="33"/>
      <c r="O4" s="33"/>
    </row>
    <row r="5">
      <c r="A5" s="20">
        <v>0.0</v>
      </c>
      <c r="B5" s="13" t="s">
        <v>5</v>
      </c>
      <c r="C5" s="20">
        <v>0.0</v>
      </c>
      <c r="D5" s="13" t="s">
        <v>5</v>
      </c>
      <c r="E5" s="12"/>
      <c r="F5" s="23"/>
      <c r="G5" s="12"/>
      <c r="H5" s="23"/>
      <c r="I5" s="12"/>
      <c r="J5" s="23"/>
      <c r="K5" s="12"/>
      <c r="M5" s="33"/>
      <c r="O5" s="33"/>
    </row>
    <row r="6">
      <c r="A6" s="20">
        <v>0.0</v>
      </c>
      <c r="B6" s="14" t="s">
        <v>4</v>
      </c>
      <c r="C6" s="20">
        <v>0.0</v>
      </c>
      <c r="D6" s="14" t="s">
        <v>4</v>
      </c>
      <c r="E6" s="12"/>
      <c r="F6" s="23"/>
      <c r="G6" s="12"/>
      <c r="H6" s="23"/>
      <c r="I6" s="12"/>
      <c r="J6" s="23"/>
      <c r="K6" s="12"/>
      <c r="M6" s="33"/>
      <c r="O6" s="33"/>
    </row>
    <row r="7">
      <c r="A7" s="20">
        <v>0.0</v>
      </c>
      <c r="B7" s="15" t="s">
        <v>7</v>
      </c>
      <c r="C7" s="20">
        <v>0.0</v>
      </c>
      <c r="D7" s="15" t="s">
        <v>7</v>
      </c>
      <c r="E7" s="12"/>
      <c r="F7" s="23"/>
      <c r="G7" s="12"/>
      <c r="H7" s="23"/>
      <c r="I7" s="12"/>
      <c r="J7" s="23"/>
      <c r="K7" s="12"/>
      <c r="M7" s="33"/>
      <c r="O7" s="33"/>
    </row>
    <row r="8">
      <c r="A8" s="20">
        <v>266.33</v>
      </c>
      <c r="B8" s="15" t="s">
        <v>8</v>
      </c>
      <c r="C8" s="20">
        <v>0.0</v>
      </c>
      <c r="D8" s="15" t="s">
        <v>8</v>
      </c>
      <c r="E8" s="12"/>
      <c r="F8" s="23"/>
      <c r="G8" s="12"/>
      <c r="H8" s="23"/>
      <c r="I8" s="12"/>
      <c r="J8" s="23"/>
      <c r="K8" s="12"/>
      <c r="M8" s="33"/>
      <c r="O8" s="33"/>
    </row>
    <row r="9">
      <c r="A9" s="20">
        <v>90.0</v>
      </c>
      <c r="B9" s="15" t="s">
        <v>9</v>
      </c>
      <c r="C9" s="20">
        <v>0.0</v>
      </c>
      <c r="D9" s="15" t="s">
        <v>9</v>
      </c>
      <c r="E9" s="12"/>
      <c r="F9" s="23"/>
      <c r="G9" s="12"/>
      <c r="H9" s="23"/>
      <c r="I9" s="12"/>
      <c r="J9" s="23"/>
      <c r="K9" s="12"/>
      <c r="M9" s="33"/>
      <c r="O9" s="33"/>
    </row>
    <row r="10">
      <c r="A10" s="20">
        <v>0.0</v>
      </c>
      <c r="B10" s="17" t="s">
        <v>10</v>
      </c>
      <c r="C10" s="20">
        <v>0.0</v>
      </c>
      <c r="D10" s="17" t="s">
        <v>10</v>
      </c>
      <c r="E10" s="12"/>
      <c r="F10" s="23"/>
      <c r="G10" s="12"/>
      <c r="H10" s="23"/>
      <c r="I10" s="12"/>
      <c r="J10" s="23"/>
      <c r="K10" s="12"/>
      <c r="M10" s="33"/>
      <c r="O10" s="33"/>
    </row>
    <row r="11">
      <c r="A11" s="20">
        <v>0.0</v>
      </c>
      <c r="B11" s="19"/>
      <c r="C11" s="20">
        <v>0.0</v>
      </c>
      <c r="D11" s="23"/>
      <c r="E11" s="12"/>
      <c r="F11" s="23"/>
      <c r="G11" s="12"/>
      <c r="H11" s="23"/>
      <c r="I11" s="12"/>
      <c r="J11" s="23"/>
      <c r="K11" s="12"/>
      <c r="M11" s="33"/>
      <c r="O11" s="33"/>
    </row>
    <row r="12">
      <c r="A12" s="20">
        <v>0.0</v>
      </c>
      <c r="B12" s="21"/>
      <c r="C12" s="20">
        <v>0.0</v>
      </c>
      <c r="D12" s="23"/>
      <c r="E12" s="12"/>
      <c r="F12" s="23"/>
      <c r="G12" s="12"/>
      <c r="H12" s="23"/>
      <c r="I12" s="12"/>
      <c r="J12" s="23"/>
      <c r="K12" s="12"/>
      <c r="M12" s="33"/>
      <c r="O12" s="33"/>
    </row>
    <row r="13">
      <c r="A13" s="20">
        <v>0.0</v>
      </c>
      <c r="B13" s="9"/>
      <c r="C13" s="20">
        <v>0.0</v>
      </c>
      <c r="D13" s="23"/>
      <c r="E13" s="12"/>
      <c r="F13" s="23"/>
      <c r="G13" s="12"/>
      <c r="H13" s="23"/>
      <c r="I13" s="12"/>
      <c r="J13" s="23"/>
      <c r="K13" s="12"/>
      <c r="M13" s="33"/>
      <c r="O13" s="33"/>
    </row>
    <row r="14">
      <c r="A14" s="20">
        <v>0.0</v>
      </c>
      <c r="B14" s="24"/>
      <c r="C14" s="20">
        <v>0.0</v>
      </c>
      <c r="D14" s="23"/>
      <c r="E14" s="12"/>
      <c r="F14" s="23"/>
      <c r="G14" s="12"/>
      <c r="H14" s="23"/>
      <c r="I14" s="12"/>
      <c r="J14" s="23"/>
      <c r="K14" s="12"/>
      <c r="M14" s="33"/>
      <c r="O14" s="33"/>
    </row>
    <row r="15">
      <c r="A15" s="20">
        <v>0.0</v>
      </c>
      <c r="B15" s="24"/>
      <c r="C15" s="20">
        <v>0.0</v>
      </c>
      <c r="D15" s="23"/>
      <c r="E15" s="12"/>
      <c r="F15" s="23"/>
      <c r="G15" s="12"/>
      <c r="H15" s="23"/>
      <c r="I15" s="12"/>
      <c r="J15" s="23"/>
      <c r="K15" s="12"/>
      <c r="M15" s="33"/>
      <c r="O15" s="33"/>
    </row>
    <row r="16">
      <c r="A16" s="20">
        <v>0.0</v>
      </c>
      <c r="B16" s="24"/>
      <c r="C16" s="20">
        <v>0.0</v>
      </c>
      <c r="D16" s="23"/>
      <c r="E16" s="12"/>
      <c r="F16" s="23"/>
      <c r="G16" s="12"/>
      <c r="H16" s="23"/>
      <c r="I16" s="12"/>
      <c r="J16" s="23"/>
      <c r="K16" s="12"/>
      <c r="M16" s="33"/>
      <c r="O16" s="33"/>
    </row>
    <row r="17">
      <c r="A17" s="20">
        <v>0.0</v>
      </c>
      <c r="B17" s="24"/>
      <c r="C17" s="20">
        <v>0.0</v>
      </c>
      <c r="D17" s="23"/>
      <c r="E17" s="12"/>
      <c r="F17" s="23"/>
      <c r="G17" s="12"/>
      <c r="H17" s="23"/>
      <c r="I17" s="12"/>
      <c r="J17" s="23"/>
      <c r="K17" s="12"/>
      <c r="M17" s="33"/>
      <c r="O17" s="33"/>
    </row>
    <row r="18">
      <c r="A18" s="20">
        <v>0.0</v>
      </c>
      <c r="B18" s="23"/>
      <c r="C18" s="20">
        <v>0.0</v>
      </c>
      <c r="D18" s="23"/>
      <c r="E18" s="12"/>
      <c r="F18" s="23"/>
      <c r="G18" s="12"/>
      <c r="H18" s="23"/>
      <c r="I18" s="12"/>
      <c r="J18" s="23"/>
      <c r="K18" s="12"/>
      <c r="M18" s="33"/>
      <c r="O18" s="33"/>
    </row>
    <row r="19">
      <c r="A19" s="20">
        <v>0.0</v>
      </c>
      <c r="B19" s="24"/>
      <c r="C19" s="20">
        <v>0.0</v>
      </c>
      <c r="D19" s="23"/>
      <c r="E19" s="12"/>
      <c r="F19" s="23"/>
      <c r="G19" s="12"/>
      <c r="H19" s="23"/>
      <c r="I19" s="12"/>
      <c r="J19" s="23"/>
      <c r="K19" s="12"/>
      <c r="M19" s="33"/>
      <c r="O19" s="33"/>
    </row>
    <row r="20">
      <c r="A20" s="20">
        <v>0.0</v>
      </c>
      <c r="B20" s="24"/>
      <c r="C20" s="20">
        <v>0.0</v>
      </c>
      <c r="D20" s="9"/>
      <c r="E20" s="12"/>
      <c r="F20" s="23"/>
      <c r="G20" s="12"/>
      <c r="H20" s="23"/>
      <c r="I20" s="12"/>
      <c r="J20" s="23"/>
      <c r="K20" s="12"/>
      <c r="M20" s="33"/>
      <c r="O20" s="33"/>
    </row>
    <row r="21">
      <c r="A21" s="20">
        <v>0.0</v>
      </c>
      <c r="B21" s="24"/>
      <c r="C21" s="20">
        <v>0.0</v>
      </c>
      <c r="D21" s="23"/>
      <c r="E21" s="12"/>
      <c r="F21" s="23"/>
      <c r="G21" s="12"/>
      <c r="H21" s="23"/>
      <c r="I21" s="12"/>
      <c r="J21" s="23"/>
      <c r="K21" s="12"/>
      <c r="M21" s="33"/>
      <c r="O21" s="33"/>
    </row>
    <row r="22">
      <c r="A22" s="20">
        <v>0.0</v>
      </c>
      <c r="B22" s="23"/>
      <c r="C22" s="20">
        <v>0.0</v>
      </c>
      <c r="D22" s="23"/>
      <c r="E22" s="12"/>
      <c r="F22" s="23"/>
      <c r="G22" s="12"/>
      <c r="H22" s="23"/>
      <c r="I22" s="12"/>
      <c r="J22" s="23"/>
      <c r="K22" s="12"/>
      <c r="M22" s="33"/>
      <c r="O22" s="33"/>
    </row>
    <row r="23">
      <c r="A23" s="20">
        <v>0.0</v>
      </c>
      <c r="B23" s="23"/>
      <c r="C23" s="20">
        <v>0.0</v>
      </c>
      <c r="D23" s="23"/>
      <c r="E23" s="12"/>
      <c r="F23" s="23"/>
      <c r="G23" s="12"/>
      <c r="H23" s="9"/>
      <c r="I23" s="12"/>
      <c r="J23" s="23"/>
      <c r="K23" s="12"/>
      <c r="M23" s="33"/>
      <c r="O23" s="33"/>
    </row>
    <row r="24">
      <c r="A24" s="20">
        <v>0.0</v>
      </c>
      <c r="B24" s="23"/>
      <c r="C24" s="20">
        <v>0.0</v>
      </c>
      <c r="D24" s="23"/>
      <c r="E24" s="12"/>
      <c r="F24" s="23"/>
      <c r="G24" s="12"/>
      <c r="H24" s="23"/>
      <c r="I24" s="12"/>
      <c r="J24" s="23"/>
      <c r="K24" s="12"/>
      <c r="M24" s="33"/>
      <c r="O24" s="33"/>
    </row>
    <row r="25">
      <c r="A25" s="20">
        <v>0.0</v>
      </c>
      <c r="B25" s="23"/>
      <c r="C25" s="20">
        <v>0.0</v>
      </c>
      <c r="D25" s="23"/>
      <c r="E25" s="12"/>
      <c r="F25" s="23"/>
      <c r="G25" s="12"/>
      <c r="H25" s="23"/>
      <c r="I25" s="12"/>
      <c r="J25" s="23"/>
      <c r="K25" s="12"/>
      <c r="M25" s="33"/>
      <c r="O25" s="33"/>
    </row>
    <row r="26">
      <c r="A26" s="20">
        <v>0.0</v>
      </c>
      <c r="B26" s="23"/>
      <c r="C26" s="20">
        <v>0.0</v>
      </c>
      <c r="D26" s="23"/>
      <c r="E26" s="12"/>
      <c r="F26" s="23"/>
      <c r="G26" s="12"/>
      <c r="H26" s="23"/>
      <c r="I26" s="12"/>
      <c r="J26" s="23"/>
      <c r="K26" s="12"/>
      <c r="M26" s="33"/>
      <c r="O26" s="33"/>
    </row>
    <row r="27">
      <c r="A27" s="20">
        <v>0.0</v>
      </c>
      <c r="B27" s="23"/>
      <c r="C27" s="20">
        <v>0.0</v>
      </c>
      <c r="D27" s="23"/>
      <c r="E27" s="12"/>
      <c r="F27" s="23"/>
      <c r="G27" s="12"/>
      <c r="H27" s="23"/>
      <c r="I27" s="12"/>
      <c r="J27" s="23"/>
      <c r="K27" s="12"/>
      <c r="M27" s="33"/>
      <c r="O27" s="33"/>
    </row>
    <row r="28">
      <c r="A28" s="20">
        <v>0.0</v>
      </c>
      <c r="B28" s="23"/>
      <c r="C28" s="20">
        <v>0.0</v>
      </c>
      <c r="D28" s="23"/>
      <c r="E28" s="12"/>
      <c r="F28" s="23"/>
      <c r="G28" s="12"/>
      <c r="H28" s="23"/>
      <c r="I28" s="12"/>
      <c r="J28" s="23"/>
      <c r="K28" s="12"/>
      <c r="M28" s="33"/>
      <c r="O28" s="33"/>
    </row>
    <row r="29">
      <c r="A29" s="20">
        <v>0.0</v>
      </c>
      <c r="B29" s="23"/>
      <c r="C29" s="20">
        <v>0.0</v>
      </c>
      <c r="D29" s="23"/>
      <c r="E29" s="12"/>
      <c r="F29" s="23"/>
      <c r="G29" s="12"/>
      <c r="H29" s="23"/>
      <c r="I29" s="12"/>
      <c r="J29" s="23"/>
      <c r="K29" s="12"/>
      <c r="M29" s="33"/>
      <c r="O29" s="33"/>
    </row>
    <row r="30">
      <c r="A30" s="26">
        <f>SUM(A3:A29)</f>
        <v>4186.33</v>
      </c>
      <c r="B30" s="23"/>
      <c r="C30" s="26"/>
      <c r="D30" s="27"/>
      <c r="E30" s="26"/>
      <c r="F30" s="26"/>
      <c r="G30" s="26"/>
      <c r="H30" s="23"/>
      <c r="I30" s="26"/>
      <c r="J30" s="23"/>
      <c r="K30" s="26"/>
      <c r="M30" s="36"/>
      <c r="O30" s="36"/>
    </row>
    <row r="31">
      <c r="A31" s="7" t="s">
        <v>12</v>
      </c>
      <c r="B31" s="28">
        <f>A30+C30+E30+G30+I30+K30</f>
        <v>4186.33</v>
      </c>
    </row>
    <row r="32">
      <c r="A32" s="29"/>
      <c r="B32" s="30"/>
      <c r="C32" s="31"/>
      <c r="D32" s="23"/>
      <c r="E32" s="32"/>
      <c r="F32" s="23"/>
      <c r="G32" s="32"/>
      <c r="H32" s="23"/>
      <c r="I32" s="32"/>
      <c r="J32" s="23"/>
      <c r="K32" s="32"/>
    </row>
    <row r="36">
      <c r="E36" s="33"/>
    </row>
    <row r="37">
      <c r="E37" s="33"/>
    </row>
  </sheetData>
  <mergeCells count="2">
    <mergeCell ref="A1:K1"/>
    <mergeCell ref="B31:K3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6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412.0</v>
      </c>
      <c r="B2" s="5" t="s">
        <v>1</v>
      </c>
      <c r="C2" s="7" t="s">
        <v>2</v>
      </c>
      <c r="D2" s="5" t="s">
        <v>1</v>
      </c>
      <c r="E2" s="7" t="s">
        <v>2</v>
      </c>
      <c r="F2" s="5" t="s">
        <v>1</v>
      </c>
      <c r="G2" s="7"/>
      <c r="H2" s="27"/>
      <c r="I2" s="8"/>
      <c r="J2" s="27"/>
      <c r="K2" s="8"/>
      <c r="M2" s="9"/>
      <c r="O2" s="9"/>
    </row>
    <row r="3">
      <c r="A3" s="20">
        <v>30.0</v>
      </c>
      <c r="B3" s="9" t="s">
        <v>3</v>
      </c>
      <c r="C3" s="20">
        <v>0.0</v>
      </c>
      <c r="D3" s="9" t="s">
        <v>3</v>
      </c>
      <c r="E3" s="12">
        <v>0.0</v>
      </c>
      <c r="F3" s="9" t="s">
        <v>3</v>
      </c>
      <c r="G3" s="12"/>
      <c r="H3" s="23"/>
      <c r="I3" s="12"/>
      <c r="J3" s="23"/>
      <c r="K3" s="12"/>
      <c r="M3" s="33"/>
      <c r="O3" s="33"/>
    </row>
    <row r="4">
      <c r="A4" s="20">
        <v>3700.0</v>
      </c>
      <c r="B4" s="13" t="s">
        <v>4</v>
      </c>
      <c r="C4" s="20">
        <v>0.0</v>
      </c>
      <c r="D4" s="13" t="s">
        <v>4</v>
      </c>
      <c r="E4" s="12">
        <v>0.0</v>
      </c>
      <c r="F4" s="13" t="s">
        <v>4</v>
      </c>
      <c r="G4" s="12"/>
      <c r="H4" s="23"/>
      <c r="I4" s="12"/>
      <c r="J4" s="23"/>
      <c r="K4" s="12"/>
      <c r="M4" s="33"/>
      <c r="O4" s="33"/>
    </row>
    <row r="5">
      <c r="A5" s="20">
        <v>0.0</v>
      </c>
      <c r="B5" s="13" t="s">
        <v>5</v>
      </c>
      <c r="C5" s="20">
        <v>0.0</v>
      </c>
      <c r="D5" s="13" t="s">
        <v>5</v>
      </c>
      <c r="E5" s="12">
        <v>0.0</v>
      </c>
      <c r="F5" s="13" t="s">
        <v>5</v>
      </c>
      <c r="G5" s="12"/>
      <c r="H5" s="23"/>
      <c r="I5" s="12"/>
      <c r="J5" s="23"/>
      <c r="K5" s="12"/>
      <c r="M5" s="33"/>
      <c r="O5" s="33"/>
    </row>
    <row r="6">
      <c r="A6" s="20">
        <v>0.0</v>
      </c>
      <c r="B6" s="14" t="s">
        <v>4</v>
      </c>
      <c r="C6" s="20">
        <v>0.0</v>
      </c>
      <c r="D6" s="14" t="s">
        <v>4</v>
      </c>
      <c r="E6" s="12">
        <v>0.0</v>
      </c>
      <c r="F6" s="14" t="s">
        <v>4</v>
      </c>
      <c r="G6" s="12"/>
      <c r="H6" s="23"/>
      <c r="I6" s="12"/>
      <c r="J6" s="23"/>
      <c r="K6" s="12"/>
      <c r="M6" s="33"/>
      <c r="O6" s="33"/>
    </row>
    <row r="7">
      <c r="A7" s="20">
        <v>0.0</v>
      </c>
      <c r="B7" s="15" t="s">
        <v>7</v>
      </c>
      <c r="C7" s="20">
        <v>0.0</v>
      </c>
      <c r="D7" s="15" t="s">
        <v>7</v>
      </c>
      <c r="E7" s="12">
        <v>0.0</v>
      </c>
      <c r="F7" s="15" t="s">
        <v>7</v>
      </c>
      <c r="G7" s="12"/>
      <c r="H7" s="23"/>
      <c r="I7" s="12"/>
      <c r="J7" s="23"/>
      <c r="K7" s="12"/>
      <c r="M7" s="33"/>
      <c r="O7" s="33"/>
    </row>
    <row r="8">
      <c r="A8" s="20">
        <v>266.33</v>
      </c>
      <c r="B8" s="15" t="s">
        <v>8</v>
      </c>
      <c r="C8" s="20">
        <v>0.0</v>
      </c>
      <c r="D8" s="15" t="s">
        <v>8</v>
      </c>
      <c r="E8" s="12">
        <v>0.0</v>
      </c>
      <c r="F8" s="15" t="s">
        <v>8</v>
      </c>
      <c r="G8" s="12"/>
      <c r="H8" s="23"/>
      <c r="I8" s="12"/>
      <c r="J8" s="23"/>
      <c r="K8" s="12"/>
      <c r="M8" s="33"/>
      <c r="O8" s="33"/>
    </row>
    <row r="9">
      <c r="A9" s="20">
        <v>90.0</v>
      </c>
      <c r="B9" s="15" t="s">
        <v>9</v>
      </c>
      <c r="C9" s="20">
        <v>0.0</v>
      </c>
      <c r="D9" s="15" t="s">
        <v>9</v>
      </c>
      <c r="E9" s="12">
        <v>0.0</v>
      </c>
      <c r="F9" s="15" t="s">
        <v>9</v>
      </c>
      <c r="G9" s="12"/>
      <c r="H9" s="23"/>
      <c r="I9" s="12"/>
      <c r="J9" s="23"/>
      <c r="K9" s="12"/>
      <c r="M9" s="33"/>
      <c r="O9" s="33"/>
    </row>
    <row r="10">
      <c r="A10" s="20">
        <v>0.0</v>
      </c>
      <c r="B10" s="17" t="s">
        <v>10</v>
      </c>
      <c r="C10" s="20">
        <v>0.0</v>
      </c>
      <c r="D10" s="17" t="s">
        <v>10</v>
      </c>
      <c r="E10" s="12">
        <v>0.0</v>
      </c>
      <c r="F10" s="17" t="s">
        <v>10</v>
      </c>
      <c r="G10" s="12"/>
      <c r="H10" s="23"/>
      <c r="I10" s="12"/>
      <c r="J10" s="23"/>
      <c r="K10" s="12"/>
      <c r="M10" s="33"/>
      <c r="O10" s="33"/>
    </row>
    <row r="11">
      <c r="A11" s="20">
        <v>0.0</v>
      </c>
      <c r="B11" s="19"/>
      <c r="C11" s="20">
        <v>0.0</v>
      </c>
      <c r="D11" s="19"/>
      <c r="E11" s="12">
        <v>0.0</v>
      </c>
      <c r="F11" s="19"/>
      <c r="G11" s="12"/>
      <c r="H11" s="23"/>
      <c r="I11" s="12"/>
      <c r="J11" s="23"/>
      <c r="K11" s="12"/>
      <c r="M11" s="33"/>
      <c r="O11" s="33"/>
    </row>
    <row r="12">
      <c r="A12" s="20">
        <v>0.0</v>
      </c>
      <c r="B12" s="21"/>
      <c r="C12" s="20">
        <v>0.0</v>
      </c>
      <c r="D12" s="21"/>
      <c r="E12" s="12">
        <v>0.0</v>
      </c>
      <c r="F12" s="21"/>
      <c r="G12" s="12"/>
      <c r="H12" s="23"/>
      <c r="I12" s="12"/>
      <c r="J12" s="23"/>
      <c r="K12" s="12"/>
      <c r="M12" s="33"/>
      <c r="O12" s="33"/>
    </row>
    <row r="13">
      <c r="A13" s="20">
        <v>0.0</v>
      </c>
      <c r="B13" s="9"/>
      <c r="C13" s="20">
        <v>0.0</v>
      </c>
      <c r="D13" s="9"/>
      <c r="E13" s="12">
        <v>0.0</v>
      </c>
      <c r="F13" s="9"/>
      <c r="G13" s="12"/>
      <c r="H13" s="23"/>
      <c r="I13" s="12"/>
      <c r="J13" s="23"/>
      <c r="K13" s="12"/>
      <c r="M13" s="33"/>
      <c r="O13" s="33"/>
    </row>
    <row r="14">
      <c r="A14" s="20">
        <v>0.0</v>
      </c>
      <c r="B14" s="24"/>
      <c r="C14" s="20">
        <v>0.0</v>
      </c>
      <c r="D14" s="23"/>
      <c r="E14" s="12">
        <v>0.0</v>
      </c>
      <c r="F14" s="23"/>
      <c r="G14" s="12"/>
      <c r="H14" s="23"/>
      <c r="I14" s="12"/>
      <c r="J14" s="23"/>
      <c r="K14" s="12"/>
      <c r="M14" s="33"/>
      <c r="O14" s="33"/>
    </row>
    <row r="15">
      <c r="A15" s="20">
        <v>0.0</v>
      </c>
      <c r="B15" s="24"/>
      <c r="C15" s="20">
        <v>0.0</v>
      </c>
      <c r="D15" s="23"/>
      <c r="E15" s="12">
        <v>0.0</v>
      </c>
      <c r="F15" s="23"/>
      <c r="G15" s="12"/>
      <c r="H15" s="23"/>
      <c r="I15" s="12"/>
      <c r="J15" s="23"/>
      <c r="K15" s="12"/>
      <c r="M15" s="33"/>
      <c r="O15" s="33"/>
    </row>
    <row r="16">
      <c r="A16" s="20">
        <v>0.0</v>
      </c>
      <c r="B16" s="24"/>
      <c r="C16" s="20">
        <v>0.0</v>
      </c>
      <c r="D16" s="23"/>
      <c r="E16" s="12">
        <v>0.0</v>
      </c>
      <c r="F16" s="23"/>
      <c r="G16" s="12"/>
      <c r="H16" s="23"/>
      <c r="I16" s="12"/>
      <c r="J16" s="23"/>
      <c r="K16" s="12"/>
      <c r="M16" s="33"/>
      <c r="O16" s="33"/>
    </row>
    <row r="17">
      <c r="A17" s="20">
        <v>0.0</v>
      </c>
      <c r="B17" s="24"/>
      <c r="C17" s="20">
        <v>0.0</v>
      </c>
      <c r="D17" s="23"/>
      <c r="E17" s="12">
        <v>0.0</v>
      </c>
      <c r="F17" s="23"/>
      <c r="G17" s="12"/>
      <c r="H17" s="23"/>
      <c r="I17" s="12"/>
      <c r="J17" s="23"/>
      <c r="K17" s="12"/>
      <c r="M17" s="33"/>
      <c r="O17" s="33"/>
    </row>
    <row r="18">
      <c r="A18" s="20">
        <v>0.0</v>
      </c>
      <c r="B18" s="23"/>
      <c r="C18" s="20">
        <v>0.0</v>
      </c>
      <c r="D18" s="23"/>
      <c r="E18" s="12">
        <v>0.0</v>
      </c>
      <c r="F18" s="23"/>
      <c r="G18" s="12"/>
      <c r="H18" s="23"/>
      <c r="I18" s="12"/>
      <c r="J18" s="23"/>
      <c r="K18" s="12"/>
      <c r="M18" s="33"/>
      <c r="O18" s="33"/>
    </row>
    <row r="19">
      <c r="A19" s="20">
        <v>0.0</v>
      </c>
      <c r="B19" s="24"/>
      <c r="C19" s="20">
        <v>0.0</v>
      </c>
      <c r="D19" s="23"/>
      <c r="E19" s="12">
        <v>0.0</v>
      </c>
      <c r="F19" s="23"/>
      <c r="G19" s="12"/>
      <c r="H19" s="23"/>
      <c r="I19" s="12"/>
      <c r="J19" s="23"/>
      <c r="K19" s="12"/>
      <c r="M19" s="33"/>
      <c r="O19" s="33"/>
    </row>
    <row r="20">
      <c r="A20" s="20">
        <v>0.0</v>
      </c>
      <c r="B20" s="24"/>
      <c r="C20" s="20">
        <v>0.0</v>
      </c>
      <c r="D20" s="9"/>
      <c r="E20" s="12">
        <v>0.0</v>
      </c>
      <c r="F20" s="23"/>
      <c r="G20" s="12"/>
      <c r="H20" s="23"/>
      <c r="I20" s="12"/>
      <c r="J20" s="23"/>
      <c r="K20" s="12"/>
      <c r="M20" s="33"/>
      <c r="O20" s="33"/>
    </row>
    <row r="21">
      <c r="A21" s="20">
        <v>0.0</v>
      </c>
      <c r="B21" s="24"/>
      <c r="C21" s="20">
        <v>0.0</v>
      </c>
      <c r="D21" s="23"/>
      <c r="E21" s="12">
        <v>0.0</v>
      </c>
      <c r="F21" s="23"/>
      <c r="G21" s="12"/>
      <c r="H21" s="23"/>
      <c r="I21" s="12"/>
      <c r="J21" s="23"/>
      <c r="K21" s="12"/>
      <c r="M21" s="33"/>
      <c r="O21" s="33"/>
    </row>
    <row r="22">
      <c r="A22" s="20">
        <v>0.0</v>
      </c>
      <c r="B22" s="23"/>
      <c r="C22" s="20">
        <v>0.0</v>
      </c>
      <c r="D22" s="23"/>
      <c r="E22" s="12">
        <v>0.0</v>
      </c>
      <c r="F22" s="23"/>
      <c r="G22" s="12"/>
      <c r="H22" s="23"/>
      <c r="I22" s="12"/>
      <c r="J22" s="23"/>
      <c r="K22" s="12"/>
      <c r="M22" s="33"/>
      <c r="O22" s="33"/>
    </row>
    <row r="23">
      <c r="A23" s="20">
        <v>0.0</v>
      </c>
      <c r="B23" s="23"/>
      <c r="C23" s="20">
        <v>0.0</v>
      </c>
      <c r="D23" s="23"/>
      <c r="E23" s="12">
        <v>0.0</v>
      </c>
      <c r="F23" s="23"/>
      <c r="G23" s="12"/>
      <c r="H23" s="9"/>
      <c r="I23" s="12"/>
      <c r="J23" s="23"/>
      <c r="K23" s="12"/>
      <c r="M23" s="33"/>
      <c r="O23" s="33"/>
    </row>
    <row r="24">
      <c r="A24" s="20">
        <v>0.0</v>
      </c>
      <c r="B24" s="23"/>
      <c r="C24" s="20">
        <v>0.0</v>
      </c>
      <c r="D24" s="23"/>
      <c r="E24" s="12">
        <v>0.0</v>
      </c>
      <c r="F24" s="23"/>
      <c r="G24" s="12"/>
      <c r="H24" s="23"/>
      <c r="I24" s="12"/>
      <c r="J24" s="23"/>
      <c r="K24" s="12"/>
      <c r="M24" s="33"/>
      <c r="O24" s="33"/>
    </row>
    <row r="25">
      <c r="A25" s="20">
        <v>0.0</v>
      </c>
      <c r="B25" s="23"/>
      <c r="C25" s="20">
        <v>0.0</v>
      </c>
      <c r="D25" s="23"/>
      <c r="E25" s="12">
        <v>0.0</v>
      </c>
      <c r="F25" s="23"/>
      <c r="G25" s="12"/>
      <c r="H25" s="23"/>
      <c r="I25" s="12"/>
      <c r="J25" s="23"/>
      <c r="K25" s="12"/>
      <c r="M25" s="33"/>
      <c r="O25" s="33"/>
    </row>
    <row r="26">
      <c r="A26" s="20">
        <v>0.0</v>
      </c>
      <c r="B26" s="23"/>
      <c r="C26" s="20">
        <v>0.0</v>
      </c>
      <c r="D26" s="23"/>
      <c r="E26" s="12">
        <v>0.0</v>
      </c>
      <c r="F26" s="23"/>
      <c r="G26" s="12"/>
      <c r="H26" s="23"/>
      <c r="I26" s="12"/>
      <c r="J26" s="23"/>
      <c r="K26" s="12"/>
      <c r="M26" s="33"/>
      <c r="O26" s="33"/>
    </row>
    <row r="27">
      <c r="A27" s="20">
        <v>0.0</v>
      </c>
      <c r="B27" s="23"/>
      <c r="C27" s="20">
        <v>0.0</v>
      </c>
      <c r="D27" s="23"/>
      <c r="E27" s="12">
        <v>0.0</v>
      </c>
      <c r="F27" s="23"/>
      <c r="G27" s="12"/>
      <c r="H27" s="23"/>
      <c r="I27" s="12"/>
      <c r="J27" s="23"/>
      <c r="K27" s="12"/>
      <c r="M27" s="33"/>
      <c r="O27" s="33"/>
    </row>
    <row r="28">
      <c r="A28" s="20">
        <v>0.0</v>
      </c>
      <c r="B28" s="23"/>
      <c r="C28" s="20">
        <v>0.0</v>
      </c>
      <c r="D28" s="23"/>
      <c r="E28" s="12">
        <v>0.0</v>
      </c>
      <c r="F28" s="23"/>
      <c r="G28" s="12"/>
      <c r="H28" s="23"/>
      <c r="I28" s="12"/>
      <c r="J28" s="23"/>
      <c r="K28" s="12"/>
      <c r="M28" s="33"/>
      <c r="O28" s="33"/>
    </row>
    <row r="29">
      <c r="A29" s="20">
        <v>0.0</v>
      </c>
      <c r="B29" s="23"/>
      <c r="C29" s="20">
        <v>0.0</v>
      </c>
      <c r="D29" s="23"/>
      <c r="E29" s="12">
        <v>0.0</v>
      </c>
      <c r="F29" s="23"/>
      <c r="G29" s="12"/>
      <c r="H29" s="23"/>
      <c r="I29" s="12"/>
      <c r="J29" s="23"/>
      <c r="K29" s="12"/>
      <c r="M29" s="33"/>
      <c r="O29" s="33"/>
    </row>
    <row r="30">
      <c r="A30" s="26">
        <f>SUM(A3:A29)</f>
        <v>4086.33</v>
      </c>
      <c r="B30" s="23"/>
      <c r="C30" s="26">
        <f>SUM(C3:C29)</f>
        <v>0</v>
      </c>
      <c r="D30" s="27"/>
      <c r="E30" s="26">
        <f>SUM(E3:E29)</f>
        <v>0</v>
      </c>
      <c r="F30" s="26"/>
      <c r="G30" s="26"/>
      <c r="H30" s="23"/>
      <c r="I30" s="26"/>
      <c r="J30" s="23"/>
      <c r="K30" s="26"/>
      <c r="M30" s="36"/>
      <c r="O30" s="36"/>
    </row>
    <row r="31">
      <c r="A31" s="7" t="s">
        <v>12</v>
      </c>
      <c r="B31" s="28">
        <f>A30+C30+E30+G30+I30+K30</f>
        <v>4086.33</v>
      </c>
    </row>
    <row r="32">
      <c r="A32" s="29"/>
      <c r="B32" s="30"/>
      <c r="C32" s="31"/>
      <c r="D32" s="23"/>
      <c r="E32" s="32"/>
      <c r="F32" s="23"/>
      <c r="G32" s="32"/>
      <c r="H32" s="23"/>
      <c r="I32" s="32"/>
      <c r="J32" s="23"/>
      <c r="K32" s="32"/>
    </row>
    <row r="33">
      <c r="A33" s="37">
        <v>4086.33</v>
      </c>
    </row>
    <row r="36">
      <c r="E36" s="33"/>
    </row>
    <row r="37">
      <c r="E37" s="33"/>
    </row>
  </sheetData>
  <mergeCells count="2">
    <mergeCell ref="A1:K1"/>
    <mergeCell ref="B31:K3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8" max="8" width="17.63"/>
    <col customWidth="1" min="10" max="10" width="18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16</v>
      </c>
      <c r="B2" s="5" t="s">
        <v>1</v>
      </c>
      <c r="C2" s="7" t="s">
        <v>2</v>
      </c>
      <c r="D2" s="5" t="s">
        <v>1</v>
      </c>
      <c r="E2" s="7" t="s">
        <v>2</v>
      </c>
      <c r="F2" s="5" t="s">
        <v>1</v>
      </c>
      <c r="G2" s="7" t="s">
        <v>2</v>
      </c>
      <c r="H2" s="5" t="s">
        <v>1</v>
      </c>
      <c r="I2" s="7" t="s">
        <v>2</v>
      </c>
      <c r="J2" s="5" t="s">
        <v>1</v>
      </c>
      <c r="K2" s="7" t="s">
        <v>2</v>
      </c>
      <c r="L2" s="5" t="s">
        <v>1</v>
      </c>
      <c r="M2" s="7" t="s">
        <v>2</v>
      </c>
      <c r="N2" s="5" t="s">
        <v>1</v>
      </c>
      <c r="O2" s="9"/>
    </row>
    <row r="3">
      <c r="A3" s="20">
        <v>30.0</v>
      </c>
      <c r="B3" s="9" t="s">
        <v>3</v>
      </c>
      <c r="C3" s="20">
        <v>0.0</v>
      </c>
      <c r="D3" s="9" t="s">
        <v>3</v>
      </c>
      <c r="E3" s="12">
        <v>0.0</v>
      </c>
      <c r="F3" s="9" t="s">
        <v>3</v>
      </c>
      <c r="G3" s="12">
        <v>0.0</v>
      </c>
      <c r="H3" s="9" t="s">
        <v>3</v>
      </c>
      <c r="I3" s="12">
        <v>0.0</v>
      </c>
      <c r="J3" s="9" t="s">
        <v>3</v>
      </c>
      <c r="K3" s="12">
        <v>0.0</v>
      </c>
      <c r="L3" s="9" t="s">
        <v>3</v>
      </c>
      <c r="M3" s="12">
        <v>0.0</v>
      </c>
      <c r="N3" s="9" t="s">
        <v>3</v>
      </c>
      <c r="O3" s="33"/>
    </row>
    <row r="4">
      <c r="A4" s="20">
        <v>3611.98</v>
      </c>
      <c r="B4" s="13" t="s">
        <v>4</v>
      </c>
      <c r="C4" s="20">
        <v>0.0</v>
      </c>
      <c r="D4" s="9" t="s">
        <v>4</v>
      </c>
      <c r="E4" s="12">
        <v>0.0</v>
      </c>
      <c r="F4" s="9" t="s">
        <v>4</v>
      </c>
      <c r="G4" s="12">
        <v>0.0</v>
      </c>
      <c r="H4" s="9" t="s">
        <v>4</v>
      </c>
      <c r="I4" s="12">
        <v>0.0</v>
      </c>
      <c r="J4" s="9" t="s">
        <v>4</v>
      </c>
      <c r="K4" s="12">
        <v>0.0</v>
      </c>
      <c r="L4" s="9" t="s">
        <v>4</v>
      </c>
      <c r="M4" s="12">
        <v>0.0</v>
      </c>
      <c r="N4" s="9" t="s">
        <v>4</v>
      </c>
      <c r="O4" s="33"/>
    </row>
    <row r="5">
      <c r="A5" s="20">
        <v>0.0</v>
      </c>
      <c r="B5" s="13" t="s">
        <v>5</v>
      </c>
      <c r="C5" s="20">
        <v>0.0</v>
      </c>
      <c r="D5" s="9" t="s">
        <v>5</v>
      </c>
      <c r="E5" s="12">
        <v>0.0</v>
      </c>
      <c r="F5" s="9" t="s">
        <v>5</v>
      </c>
      <c r="G5" s="12">
        <v>0.0</v>
      </c>
      <c r="H5" s="9" t="s">
        <v>5</v>
      </c>
      <c r="I5" s="12">
        <v>0.0</v>
      </c>
      <c r="J5" s="9" t="s">
        <v>5</v>
      </c>
      <c r="K5" s="12">
        <v>0.0</v>
      </c>
      <c r="L5" s="9" t="s">
        <v>5</v>
      </c>
      <c r="M5" s="12">
        <v>0.0</v>
      </c>
      <c r="N5" s="9" t="s">
        <v>5</v>
      </c>
      <c r="O5" s="33"/>
    </row>
    <row r="6">
      <c r="A6" s="20">
        <v>0.0</v>
      </c>
      <c r="B6" s="14" t="s">
        <v>4</v>
      </c>
      <c r="C6" s="20">
        <v>0.0</v>
      </c>
      <c r="D6" s="9" t="s">
        <v>6</v>
      </c>
      <c r="E6" s="12">
        <v>0.0</v>
      </c>
      <c r="F6" s="9" t="s">
        <v>6</v>
      </c>
      <c r="G6" s="12">
        <v>0.0</v>
      </c>
      <c r="H6" s="9" t="s">
        <v>6</v>
      </c>
      <c r="I6" s="12">
        <v>0.0</v>
      </c>
      <c r="J6" s="9" t="s">
        <v>6</v>
      </c>
      <c r="K6" s="12">
        <v>0.0</v>
      </c>
      <c r="L6" s="9" t="s">
        <v>6</v>
      </c>
      <c r="M6" s="12">
        <v>0.0</v>
      </c>
      <c r="N6" s="9" t="s">
        <v>6</v>
      </c>
      <c r="O6" s="33"/>
    </row>
    <row r="7">
      <c r="A7" s="20">
        <v>0.0</v>
      </c>
      <c r="B7" s="15" t="s">
        <v>7</v>
      </c>
      <c r="C7" s="20">
        <v>0.0</v>
      </c>
      <c r="D7" s="19" t="s">
        <v>7</v>
      </c>
      <c r="E7" s="12">
        <v>0.0</v>
      </c>
      <c r="F7" s="19" t="s">
        <v>7</v>
      </c>
      <c r="G7" s="12">
        <v>0.0</v>
      </c>
      <c r="H7" s="19" t="s">
        <v>7</v>
      </c>
      <c r="I7" s="12">
        <v>0.0</v>
      </c>
      <c r="J7" s="19" t="s">
        <v>7</v>
      </c>
      <c r="K7" s="12">
        <v>0.0</v>
      </c>
      <c r="L7" s="19" t="s">
        <v>7</v>
      </c>
      <c r="M7" s="12">
        <v>0.0</v>
      </c>
      <c r="N7" s="19" t="s">
        <v>7</v>
      </c>
      <c r="O7" s="33"/>
    </row>
    <row r="8">
      <c r="A8" s="20">
        <v>266.33</v>
      </c>
      <c r="B8" s="15" t="s">
        <v>8</v>
      </c>
      <c r="C8" s="20">
        <v>0.0</v>
      </c>
      <c r="D8" s="19" t="s">
        <v>13</v>
      </c>
      <c r="E8" s="12">
        <v>0.0</v>
      </c>
      <c r="F8" s="19" t="s">
        <v>13</v>
      </c>
      <c r="G8" s="12">
        <v>0.0</v>
      </c>
      <c r="H8" s="19" t="s">
        <v>13</v>
      </c>
      <c r="I8" s="12">
        <v>0.0</v>
      </c>
      <c r="J8" s="19" t="s">
        <v>13</v>
      </c>
      <c r="K8" s="12">
        <v>0.0</v>
      </c>
      <c r="L8" s="19" t="s">
        <v>13</v>
      </c>
      <c r="M8" s="12">
        <v>0.0</v>
      </c>
      <c r="N8" s="19" t="s">
        <v>13</v>
      </c>
      <c r="O8" s="33"/>
    </row>
    <row r="9">
      <c r="A9" s="20">
        <v>90.0</v>
      </c>
      <c r="B9" s="15" t="s">
        <v>9</v>
      </c>
      <c r="C9" s="20">
        <v>0.0</v>
      </c>
      <c r="D9" s="19" t="s">
        <v>8</v>
      </c>
      <c r="E9" s="12">
        <v>0.0</v>
      </c>
      <c r="F9" s="19" t="s">
        <v>8</v>
      </c>
      <c r="G9" s="12">
        <v>0.0</v>
      </c>
      <c r="H9" s="19" t="s">
        <v>8</v>
      </c>
      <c r="I9" s="12">
        <v>0.0</v>
      </c>
      <c r="J9" s="19" t="s">
        <v>8</v>
      </c>
      <c r="K9" s="12">
        <v>0.0</v>
      </c>
      <c r="L9" s="19" t="s">
        <v>8</v>
      </c>
      <c r="M9" s="12">
        <v>0.0</v>
      </c>
      <c r="N9" s="19" t="s">
        <v>8</v>
      </c>
      <c r="O9" s="33"/>
    </row>
    <row r="10">
      <c r="A10" s="20">
        <v>0.0</v>
      </c>
      <c r="B10" s="17" t="s">
        <v>10</v>
      </c>
      <c r="C10" s="20">
        <v>0.0</v>
      </c>
      <c r="D10" s="19" t="s">
        <v>9</v>
      </c>
      <c r="E10" s="12">
        <v>0.0</v>
      </c>
      <c r="F10" s="19" t="s">
        <v>9</v>
      </c>
      <c r="G10" s="12">
        <v>0.0</v>
      </c>
      <c r="H10" s="19" t="s">
        <v>9</v>
      </c>
      <c r="I10" s="12">
        <v>0.0</v>
      </c>
      <c r="J10" s="19" t="s">
        <v>9</v>
      </c>
      <c r="K10" s="12">
        <v>0.0</v>
      </c>
      <c r="L10" s="19" t="s">
        <v>9</v>
      </c>
      <c r="M10" s="12">
        <v>0.0</v>
      </c>
      <c r="N10" s="19" t="s">
        <v>9</v>
      </c>
      <c r="O10" s="33"/>
    </row>
    <row r="11">
      <c r="A11" s="20">
        <v>0.0</v>
      </c>
      <c r="B11" s="19"/>
      <c r="C11" s="20">
        <v>0.0</v>
      </c>
      <c r="D11" s="19"/>
      <c r="E11" s="12">
        <v>0.0</v>
      </c>
      <c r="F11" s="19"/>
      <c r="G11" s="12">
        <v>0.0</v>
      </c>
      <c r="H11" s="19"/>
      <c r="I11" s="12">
        <v>0.0</v>
      </c>
      <c r="J11" s="19"/>
      <c r="K11" s="12">
        <v>0.0</v>
      </c>
      <c r="L11" s="19"/>
      <c r="M11" s="12">
        <v>0.0</v>
      </c>
      <c r="N11" s="19" t="s">
        <v>14</v>
      </c>
      <c r="O11" s="33"/>
    </row>
    <row r="12">
      <c r="A12" s="20">
        <v>0.0</v>
      </c>
      <c r="B12" s="21"/>
      <c r="C12" s="20">
        <v>0.0</v>
      </c>
      <c r="D12" s="21"/>
      <c r="E12" s="12">
        <v>0.0</v>
      </c>
      <c r="F12" s="21"/>
      <c r="G12" s="12">
        <v>0.0</v>
      </c>
      <c r="H12" s="21"/>
      <c r="I12" s="12">
        <v>0.0</v>
      </c>
      <c r="J12" s="21"/>
      <c r="K12" s="12">
        <v>0.0</v>
      </c>
      <c r="L12" s="21"/>
      <c r="M12" s="12">
        <v>0.0</v>
      </c>
      <c r="N12" s="21" t="s">
        <v>10</v>
      </c>
      <c r="O12" s="33"/>
    </row>
    <row r="13">
      <c r="A13" s="20">
        <v>0.0</v>
      </c>
      <c r="B13" s="9"/>
      <c r="C13" s="20">
        <v>0.0</v>
      </c>
      <c r="D13" s="9"/>
      <c r="E13" s="12">
        <v>0.0</v>
      </c>
      <c r="F13" s="9"/>
      <c r="G13" s="12">
        <v>0.0</v>
      </c>
      <c r="H13" s="9"/>
      <c r="I13" s="12">
        <v>0.0</v>
      </c>
      <c r="J13" s="9"/>
      <c r="K13" s="12">
        <v>0.0</v>
      </c>
      <c r="L13" s="9"/>
      <c r="M13" s="12">
        <v>0.0</v>
      </c>
      <c r="N13" s="9" t="s">
        <v>15</v>
      </c>
      <c r="O13" s="33"/>
    </row>
    <row r="14">
      <c r="A14" s="20">
        <v>0.0</v>
      </c>
      <c r="B14" s="24"/>
      <c r="C14" s="20">
        <v>0.0</v>
      </c>
      <c r="D14" s="23"/>
      <c r="E14" s="12">
        <v>0.0</v>
      </c>
      <c r="F14" s="23"/>
      <c r="G14" s="12">
        <v>0.0</v>
      </c>
      <c r="H14" s="23"/>
      <c r="I14" s="12">
        <v>0.0</v>
      </c>
      <c r="J14" s="23"/>
      <c r="K14" s="12">
        <v>0.0</v>
      </c>
      <c r="L14" s="12"/>
      <c r="M14" s="12">
        <v>0.0</v>
      </c>
      <c r="O14" s="33"/>
    </row>
    <row r="15">
      <c r="A15" s="20">
        <v>0.0</v>
      </c>
      <c r="B15" s="24"/>
      <c r="C15" s="20">
        <v>0.0</v>
      </c>
      <c r="D15" s="23"/>
      <c r="E15" s="12">
        <v>0.0</v>
      </c>
      <c r="F15" s="23"/>
      <c r="G15" s="12">
        <v>0.0</v>
      </c>
      <c r="H15" s="23"/>
      <c r="I15" s="12">
        <v>0.0</v>
      </c>
      <c r="J15" s="23"/>
      <c r="K15" s="12">
        <v>0.0</v>
      </c>
      <c r="M15" s="12">
        <v>0.0</v>
      </c>
      <c r="O15" s="33"/>
    </row>
    <row r="16">
      <c r="A16" s="20">
        <v>0.0</v>
      </c>
      <c r="B16" s="24"/>
      <c r="C16" s="20">
        <v>0.0</v>
      </c>
      <c r="D16" s="23"/>
      <c r="E16" s="12">
        <v>0.0</v>
      </c>
      <c r="F16" s="23"/>
      <c r="G16" s="12">
        <v>0.0</v>
      </c>
      <c r="H16" s="23"/>
      <c r="I16" s="12">
        <v>0.0</v>
      </c>
      <c r="J16" s="23"/>
      <c r="K16" s="12">
        <v>0.0</v>
      </c>
      <c r="M16" s="12">
        <v>0.0</v>
      </c>
      <c r="O16" s="33"/>
    </row>
    <row r="17">
      <c r="A17" s="20">
        <v>0.0</v>
      </c>
      <c r="B17" s="24"/>
      <c r="C17" s="20">
        <v>0.0</v>
      </c>
      <c r="D17" s="23"/>
      <c r="E17" s="12">
        <v>0.0</v>
      </c>
      <c r="F17" s="23"/>
      <c r="G17" s="12">
        <v>0.0</v>
      </c>
      <c r="H17" s="23"/>
      <c r="I17" s="12">
        <v>0.0</v>
      </c>
      <c r="J17" s="23"/>
      <c r="K17" s="12">
        <v>0.0</v>
      </c>
      <c r="M17" s="12">
        <v>0.0</v>
      </c>
      <c r="O17" s="33"/>
    </row>
    <row r="18">
      <c r="A18" s="20">
        <v>0.0</v>
      </c>
      <c r="B18" s="23"/>
      <c r="C18" s="20">
        <v>0.0</v>
      </c>
      <c r="D18" s="23"/>
      <c r="E18" s="12">
        <v>0.0</v>
      </c>
      <c r="F18" s="23"/>
      <c r="G18" s="12">
        <v>0.0</v>
      </c>
      <c r="H18" s="23"/>
      <c r="I18" s="12">
        <v>0.0</v>
      </c>
      <c r="J18" s="23"/>
      <c r="K18" s="12">
        <v>0.0</v>
      </c>
      <c r="M18" s="12">
        <v>0.0</v>
      </c>
      <c r="O18" s="33"/>
    </row>
    <row r="19">
      <c r="A19" s="20">
        <v>0.0</v>
      </c>
      <c r="B19" s="24"/>
      <c r="C19" s="20">
        <v>0.0</v>
      </c>
      <c r="D19" s="23"/>
      <c r="E19" s="12">
        <v>0.0</v>
      </c>
      <c r="F19" s="23"/>
      <c r="G19" s="12">
        <v>0.0</v>
      </c>
      <c r="H19" s="23"/>
      <c r="I19" s="12">
        <v>0.0</v>
      </c>
      <c r="J19" s="23"/>
      <c r="K19" s="12">
        <v>0.0</v>
      </c>
      <c r="M19" s="12">
        <v>0.0</v>
      </c>
      <c r="O19" s="33"/>
    </row>
    <row r="20">
      <c r="A20" s="20">
        <v>0.0</v>
      </c>
      <c r="B20" s="24"/>
      <c r="C20" s="20">
        <v>0.0</v>
      </c>
      <c r="D20" s="9"/>
      <c r="E20" s="12">
        <v>0.0</v>
      </c>
      <c r="F20" s="23"/>
      <c r="G20" s="12">
        <v>0.0</v>
      </c>
      <c r="H20" s="23"/>
      <c r="I20" s="12">
        <v>0.0</v>
      </c>
      <c r="J20" s="23"/>
      <c r="K20" s="12">
        <v>0.0</v>
      </c>
      <c r="M20" s="12">
        <v>0.0</v>
      </c>
      <c r="O20" s="33"/>
    </row>
    <row r="21">
      <c r="A21" s="20">
        <v>0.0</v>
      </c>
      <c r="B21" s="24"/>
      <c r="C21" s="20">
        <v>0.0</v>
      </c>
      <c r="D21" s="23"/>
      <c r="E21" s="12">
        <v>0.0</v>
      </c>
      <c r="F21" s="23"/>
      <c r="G21" s="12">
        <v>0.0</v>
      </c>
      <c r="H21" s="23"/>
      <c r="I21" s="12">
        <v>0.0</v>
      </c>
      <c r="J21" s="23"/>
      <c r="K21" s="12">
        <v>0.0</v>
      </c>
      <c r="M21" s="12">
        <v>0.0</v>
      </c>
      <c r="O21" s="33"/>
    </row>
    <row r="22">
      <c r="A22" s="20">
        <v>0.0</v>
      </c>
      <c r="B22" s="23"/>
      <c r="C22" s="20">
        <v>0.0</v>
      </c>
      <c r="D22" s="23"/>
      <c r="E22" s="12">
        <v>0.0</v>
      </c>
      <c r="F22" s="23"/>
      <c r="G22" s="12">
        <v>0.0</v>
      </c>
      <c r="H22" s="23"/>
      <c r="I22" s="12">
        <v>0.0</v>
      </c>
      <c r="J22" s="23"/>
      <c r="K22" s="12">
        <v>0.0</v>
      </c>
      <c r="M22" s="12">
        <v>0.0</v>
      </c>
      <c r="O22" s="33"/>
    </row>
    <row r="23">
      <c r="A23" s="20">
        <v>0.0</v>
      </c>
      <c r="B23" s="23"/>
      <c r="C23" s="20">
        <v>0.0</v>
      </c>
      <c r="D23" s="23"/>
      <c r="E23" s="12">
        <v>0.0</v>
      </c>
      <c r="F23" s="23"/>
      <c r="G23" s="12">
        <v>0.0</v>
      </c>
      <c r="H23" s="9"/>
      <c r="I23" s="12">
        <v>0.0</v>
      </c>
      <c r="J23" s="23"/>
      <c r="K23" s="12">
        <v>0.0</v>
      </c>
      <c r="M23" s="12">
        <v>0.0</v>
      </c>
      <c r="O23" s="33"/>
    </row>
    <row r="24">
      <c r="A24" s="20">
        <v>0.0</v>
      </c>
      <c r="B24" s="23"/>
      <c r="C24" s="20">
        <v>0.0</v>
      </c>
      <c r="D24" s="23"/>
      <c r="E24" s="12">
        <v>0.0</v>
      </c>
      <c r="F24" s="23"/>
      <c r="G24" s="12">
        <v>0.0</v>
      </c>
      <c r="H24" s="23"/>
      <c r="I24" s="12">
        <v>0.0</v>
      </c>
      <c r="J24" s="23"/>
      <c r="K24" s="12">
        <v>0.0</v>
      </c>
      <c r="M24" s="12">
        <v>0.0</v>
      </c>
      <c r="O24" s="33"/>
    </row>
    <row r="25">
      <c r="A25" s="20">
        <v>0.0</v>
      </c>
      <c r="B25" s="23"/>
      <c r="C25" s="20">
        <v>0.0</v>
      </c>
      <c r="D25" s="23"/>
      <c r="E25" s="12">
        <v>0.0</v>
      </c>
      <c r="F25" s="23"/>
      <c r="G25" s="12">
        <v>0.0</v>
      </c>
      <c r="H25" s="23"/>
      <c r="I25" s="12">
        <v>0.0</v>
      </c>
      <c r="J25" s="23"/>
      <c r="K25" s="12">
        <v>0.0</v>
      </c>
      <c r="M25" s="12">
        <v>0.0</v>
      </c>
      <c r="O25" s="33"/>
    </row>
    <row r="26">
      <c r="A26" s="20">
        <v>0.0</v>
      </c>
      <c r="B26" s="23"/>
      <c r="C26" s="20">
        <v>0.0</v>
      </c>
      <c r="D26" s="23"/>
      <c r="E26" s="12">
        <v>0.0</v>
      </c>
      <c r="F26" s="23"/>
      <c r="G26" s="12">
        <v>0.0</v>
      </c>
      <c r="H26" s="23"/>
      <c r="I26" s="12">
        <v>0.0</v>
      </c>
      <c r="J26" s="23"/>
      <c r="K26" s="12">
        <v>0.0</v>
      </c>
      <c r="M26" s="12">
        <v>0.0</v>
      </c>
      <c r="O26" s="33"/>
    </row>
    <row r="27">
      <c r="A27" s="20">
        <v>0.0</v>
      </c>
      <c r="B27" s="23"/>
      <c r="C27" s="20">
        <v>0.0</v>
      </c>
      <c r="D27" s="23"/>
      <c r="E27" s="12">
        <v>0.0</v>
      </c>
      <c r="F27" s="23"/>
      <c r="G27" s="12">
        <v>0.0</v>
      </c>
      <c r="H27" s="23"/>
      <c r="I27" s="12">
        <v>0.0</v>
      </c>
      <c r="J27" s="23"/>
      <c r="K27" s="12">
        <v>0.0</v>
      </c>
      <c r="M27" s="12">
        <v>0.0</v>
      </c>
      <c r="O27" s="33"/>
    </row>
    <row r="28">
      <c r="A28" s="20">
        <v>0.0</v>
      </c>
      <c r="B28" s="23"/>
      <c r="C28" s="20">
        <v>0.0</v>
      </c>
      <c r="D28" s="23"/>
      <c r="E28" s="12">
        <v>0.0</v>
      </c>
      <c r="F28" s="23"/>
      <c r="G28" s="12">
        <v>0.0</v>
      </c>
      <c r="H28" s="23"/>
      <c r="I28" s="12">
        <v>0.0</v>
      </c>
      <c r="J28" s="23"/>
      <c r="K28" s="12">
        <v>0.0</v>
      </c>
      <c r="M28" s="12">
        <v>0.0</v>
      </c>
      <c r="O28" s="33"/>
    </row>
    <row r="29">
      <c r="A29" s="20">
        <v>0.0</v>
      </c>
      <c r="B29" s="23"/>
      <c r="C29" s="20">
        <v>0.0</v>
      </c>
      <c r="D29" s="23"/>
      <c r="E29" s="12">
        <v>0.0</v>
      </c>
      <c r="F29" s="23"/>
      <c r="G29" s="12">
        <v>0.0</v>
      </c>
      <c r="H29" s="23"/>
      <c r="I29" s="12">
        <v>0.0</v>
      </c>
      <c r="J29" s="23"/>
      <c r="K29" s="12">
        <v>0.0</v>
      </c>
      <c r="M29" s="12">
        <v>0.0</v>
      </c>
      <c r="O29" s="33"/>
    </row>
    <row r="30">
      <c r="A30" s="26">
        <f>SUM(A3:A29)</f>
        <v>3998.31</v>
      </c>
      <c r="B30" s="23"/>
      <c r="C30" s="26">
        <f>SUM(C3:C29)</f>
        <v>0</v>
      </c>
      <c r="D30" s="27"/>
      <c r="E30" s="26">
        <f>SUM(E3:E29)</f>
        <v>0</v>
      </c>
      <c r="F30" s="26"/>
      <c r="G30" s="26">
        <f>SUM(G3:G29)</f>
        <v>0</v>
      </c>
      <c r="H30" s="23"/>
      <c r="I30" s="26">
        <f>SUM(I3:I29)</f>
        <v>0</v>
      </c>
      <c r="J30" s="23"/>
      <c r="K30" s="26">
        <f>SUM(K3:K29)</f>
        <v>0</v>
      </c>
      <c r="L30" s="26"/>
      <c r="M30" s="26">
        <f>SUM(M3:M29)</f>
        <v>0</v>
      </c>
      <c r="O30" s="36"/>
    </row>
    <row r="31">
      <c r="A31" s="7" t="s">
        <v>12</v>
      </c>
      <c r="B31" s="28">
        <f>A30+C30+E30+G30+I30+K30+M30</f>
        <v>3998.31</v>
      </c>
    </row>
    <row r="32">
      <c r="A32" s="29"/>
      <c r="B32" s="30"/>
      <c r="C32" s="31"/>
      <c r="D32" s="23"/>
      <c r="E32" s="32"/>
      <c r="F32" s="23"/>
      <c r="G32" s="32"/>
      <c r="H32" s="23"/>
      <c r="I32" s="32"/>
      <c r="J32" s="23"/>
      <c r="K32" s="32"/>
    </row>
    <row r="34">
      <c r="A34" s="37">
        <v>3998.31</v>
      </c>
    </row>
    <row r="36">
      <c r="E36" s="33"/>
    </row>
    <row r="37">
      <c r="E37" s="33"/>
    </row>
  </sheetData>
  <mergeCells count="2">
    <mergeCell ref="A1:N1"/>
    <mergeCell ref="B31:K3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9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>
        <v>906.0</v>
      </c>
      <c r="B2" s="5" t="s">
        <v>1</v>
      </c>
      <c r="C2" s="6">
        <v>1309.0</v>
      </c>
      <c r="D2" s="5" t="s">
        <v>1</v>
      </c>
      <c r="E2" s="6">
        <v>1322.0</v>
      </c>
      <c r="F2" s="5" t="s">
        <v>1</v>
      </c>
      <c r="G2" s="6">
        <v>1420.0</v>
      </c>
      <c r="H2" s="5" t="s">
        <v>1</v>
      </c>
      <c r="I2" s="6">
        <v>1421.0</v>
      </c>
      <c r="J2" s="5" t="s">
        <v>1</v>
      </c>
      <c r="K2" s="6">
        <v>1422.0</v>
      </c>
      <c r="L2" s="5" t="s">
        <v>1</v>
      </c>
      <c r="M2" s="9"/>
      <c r="N2" s="23"/>
      <c r="O2" s="9"/>
    </row>
    <row r="3">
      <c r="A3" s="20">
        <v>30.0</v>
      </c>
      <c r="B3" s="9" t="s">
        <v>3</v>
      </c>
      <c r="C3" s="20">
        <v>30.0</v>
      </c>
      <c r="D3" s="9" t="s">
        <v>3</v>
      </c>
      <c r="E3" s="20">
        <v>30.0</v>
      </c>
      <c r="F3" s="9" t="s">
        <v>3</v>
      </c>
      <c r="G3" s="20">
        <v>30.0</v>
      </c>
      <c r="H3" s="9" t="s">
        <v>3</v>
      </c>
      <c r="I3" s="20">
        <v>30.0</v>
      </c>
      <c r="J3" s="9" t="s">
        <v>3</v>
      </c>
      <c r="K3" s="20">
        <v>30.0</v>
      </c>
      <c r="L3" s="9" t="s">
        <v>3</v>
      </c>
      <c r="M3" s="12"/>
      <c r="N3" s="23"/>
      <c r="O3" s="12"/>
    </row>
    <row r="4">
      <c r="A4" s="20">
        <v>4200.0</v>
      </c>
      <c r="B4" s="13" t="s">
        <v>4</v>
      </c>
      <c r="C4" s="20">
        <f>2149.47+1686+664.53</f>
        <v>4500</v>
      </c>
      <c r="D4" s="13" t="s">
        <v>4</v>
      </c>
      <c r="E4" s="20">
        <f>1915.15+1686+898.95</f>
        <v>4500.1</v>
      </c>
      <c r="F4" s="13" t="s">
        <v>4</v>
      </c>
      <c r="G4" s="20">
        <f>1736.08+1686+1077.92</f>
        <v>4500</v>
      </c>
      <c r="H4" s="13" t="s">
        <v>4</v>
      </c>
      <c r="I4" s="20">
        <f>1769.1+1686+1044.9</f>
        <v>4500</v>
      </c>
      <c r="J4" s="13" t="s">
        <v>4</v>
      </c>
      <c r="K4" s="20">
        <f>1769.1+1686+1044.9</f>
        <v>4500</v>
      </c>
      <c r="L4" s="13" t="s">
        <v>4</v>
      </c>
      <c r="M4" s="12"/>
      <c r="N4" s="23"/>
      <c r="O4" s="12"/>
    </row>
    <row r="5">
      <c r="A5" s="20">
        <v>127.55</v>
      </c>
      <c r="B5" s="13" t="s">
        <v>5</v>
      </c>
      <c r="C5" s="20">
        <v>288.27</v>
      </c>
      <c r="D5" s="9" t="s">
        <v>5</v>
      </c>
      <c r="E5" s="20">
        <v>0.0</v>
      </c>
      <c r="F5" s="13" t="s">
        <v>5</v>
      </c>
      <c r="G5" s="20">
        <v>109.27</v>
      </c>
      <c r="H5" s="13" t="s">
        <v>5</v>
      </c>
      <c r="I5" s="20">
        <v>141.49</v>
      </c>
      <c r="J5" s="13" t="s">
        <v>5</v>
      </c>
      <c r="K5" s="20">
        <v>165.35</v>
      </c>
      <c r="L5" s="13" t="s">
        <v>5</v>
      </c>
      <c r="M5" s="12"/>
      <c r="N5" s="23"/>
      <c r="O5" s="12"/>
    </row>
    <row r="6">
      <c r="A6" s="20">
        <v>0.0</v>
      </c>
      <c r="B6" s="14" t="s">
        <v>4</v>
      </c>
      <c r="C6" s="20">
        <v>0.0</v>
      </c>
      <c r="D6" s="14" t="s">
        <v>4</v>
      </c>
      <c r="E6" s="20">
        <v>0.0</v>
      </c>
      <c r="F6" s="14" t="s">
        <v>4</v>
      </c>
      <c r="G6" s="20">
        <v>0.0</v>
      </c>
      <c r="H6" s="14" t="s">
        <v>4</v>
      </c>
      <c r="I6" s="20">
        <v>0.0</v>
      </c>
      <c r="J6" s="14" t="s">
        <v>4</v>
      </c>
      <c r="K6" s="20">
        <v>0.0</v>
      </c>
      <c r="L6" s="14" t="s">
        <v>4</v>
      </c>
      <c r="M6" s="12"/>
      <c r="N6" s="23"/>
      <c r="O6" s="12"/>
    </row>
    <row r="7">
      <c r="A7" s="20">
        <v>0.0</v>
      </c>
      <c r="B7" s="15" t="s">
        <v>7</v>
      </c>
      <c r="C7" s="20">
        <v>0.0</v>
      </c>
      <c r="D7" s="15" t="s">
        <v>7</v>
      </c>
      <c r="E7" s="20">
        <v>0.0</v>
      </c>
      <c r="F7" s="15" t="s">
        <v>7</v>
      </c>
      <c r="G7" s="20">
        <v>0.0</v>
      </c>
      <c r="H7" s="15" t="s">
        <v>7</v>
      </c>
      <c r="I7" s="20">
        <v>0.0</v>
      </c>
      <c r="J7" s="15" t="s">
        <v>7</v>
      </c>
      <c r="K7" s="20">
        <v>0.0</v>
      </c>
      <c r="L7" s="15" t="s">
        <v>7</v>
      </c>
      <c r="M7" s="12"/>
      <c r="N7" s="23"/>
      <c r="O7" s="12"/>
    </row>
    <row r="8">
      <c r="A8" s="20">
        <v>266.33</v>
      </c>
      <c r="B8" s="15" t="s">
        <v>8</v>
      </c>
      <c r="C8" s="20">
        <v>266.33</v>
      </c>
      <c r="D8" s="15" t="s">
        <v>8</v>
      </c>
      <c r="E8" s="20">
        <v>266.33</v>
      </c>
      <c r="F8" s="15" t="s">
        <v>8</v>
      </c>
      <c r="G8" s="20">
        <v>266.33</v>
      </c>
      <c r="H8" s="15" t="s">
        <v>8</v>
      </c>
      <c r="I8" s="20">
        <v>266.33</v>
      </c>
      <c r="J8" s="15" t="s">
        <v>8</v>
      </c>
      <c r="K8" s="20">
        <v>266.33</v>
      </c>
      <c r="L8" s="15" t="s">
        <v>8</v>
      </c>
      <c r="M8" s="12"/>
      <c r="N8" s="23"/>
      <c r="O8" s="12"/>
    </row>
    <row r="9">
      <c r="A9" s="20">
        <v>90.0</v>
      </c>
      <c r="B9" s="15" t="s">
        <v>9</v>
      </c>
      <c r="C9" s="20">
        <v>90.0</v>
      </c>
      <c r="D9" s="15" t="s">
        <v>9</v>
      </c>
      <c r="E9" s="20">
        <v>90.0</v>
      </c>
      <c r="F9" s="15" t="s">
        <v>9</v>
      </c>
      <c r="G9" s="20">
        <v>90.0</v>
      </c>
      <c r="H9" s="15" t="s">
        <v>9</v>
      </c>
      <c r="I9" s="20">
        <f>90+125</f>
        <v>215</v>
      </c>
      <c r="J9" s="15" t="s">
        <v>9</v>
      </c>
      <c r="K9" s="20">
        <v>90.0</v>
      </c>
      <c r="L9" s="15" t="s">
        <v>9</v>
      </c>
      <c r="M9" s="12"/>
      <c r="N9" s="23"/>
      <c r="O9" s="12"/>
    </row>
    <row r="10">
      <c r="A10" s="20">
        <v>0.0</v>
      </c>
      <c r="B10" s="17" t="s">
        <v>10</v>
      </c>
      <c r="C10" s="20">
        <v>0.0</v>
      </c>
      <c r="D10" s="17" t="s">
        <v>10</v>
      </c>
      <c r="E10" s="20">
        <v>0.0</v>
      </c>
      <c r="F10" s="17" t="s">
        <v>10</v>
      </c>
      <c r="G10" s="20">
        <v>0.0</v>
      </c>
      <c r="H10" s="17" t="s">
        <v>10</v>
      </c>
      <c r="I10" s="20">
        <v>0.0</v>
      </c>
      <c r="J10" s="17" t="s">
        <v>10</v>
      </c>
      <c r="K10" s="20">
        <v>0.0</v>
      </c>
      <c r="L10" s="17" t="s">
        <v>10</v>
      </c>
      <c r="M10" s="12"/>
      <c r="N10" s="23"/>
      <c r="O10" s="12"/>
    </row>
    <row r="11">
      <c r="A11" s="20">
        <v>0.0</v>
      </c>
      <c r="B11" s="19"/>
      <c r="C11" s="20">
        <v>0.0</v>
      </c>
      <c r="D11" s="19"/>
      <c r="E11" s="12">
        <v>0.0</v>
      </c>
      <c r="F11" s="19"/>
      <c r="G11" s="20">
        <v>0.0</v>
      </c>
      <c r="H11" s="23"/>
      <c r="I11" s="20">
        <v>0.0</v>
      </c>
      <c r="J11" s="23"/>
      <c r="K11" s="20">
        <v>0.0</v>
      </c>
      <c r="L11" s="23"/>
      <c r="M11" s="12"/>
      <c r="N11" s="23"/>
      <c r="O11" s="12"/>
    </row>
    <row r="12">
      <c r="A12" s="20">
        <v>0.0</v>
      </c>
      <c r="B12" s="21"/>
      <c r="C12" s="20">
        <v>0.0</v>
      </c>
      <c r="D12" s="21"/>
      <c r="E12" s="12">
        <v>0.0</v>
      </c>
      <c r="F12" s="21"/>
      <c r="G12" s="20">
        <v>0.0</v>
      </c>
      <c r="H12" s="23"/>
      <c r="I12" s="20">
        <v>0.0</v>
      </c>
      <c r="J12" s="23"/>
      <c r="K12" s="20">
        <v>0.0</v>
      </c>
      <c r="L12" s="23"/>
      <c r="M12" s="12"/>
      <c r="N12" s="23"/>
      <c r="O12" s="12"/>
    </row>
    <row r="13">
      <c r="A13" s="20">
        <v>0.0</v>
      </c>
      <c r="B13" s="9"/>
      <c r="C13" s="20">
        <v>0.0</v>
      </c>
      <c r="D13" s="9"/>
      <c r="E13" s="12">
        <v>0.0</v>
      </c>
      <c r="F13" s="9"/>
      <c r="G13" s="20">
        <v>0.0</v>
      </c>
      <c r="H13" s="23"/>
      <c r="I13" s="20">
        <v>0.0</v>
      </c>
      <c r="J13" s="23"/>
      <c r="K13" s="20">
        <v>0.0</v>
      </c>
      <c r="L13" s="23"/>
      <c r="M13" s="12"/>
      <c r="N13" s="23"/>
      <c r="O13" s="12"/>
    </row>
    <row r="14">
      <c r="A14" s="20">
        <v>0.0</v>
      </c>
      <c r="B14" s="24"/>
      <c r="C14" s="20">
        <v>0.0</v>
      </c>
      <c r="D14" s="23"/>
      <c r="E14" s="12">
        <v>0.0</v>
      </c>
      <c r="F14" s="23"/>
      <c r="G14" s="20">
        <v>0.0</v>
      </c>
      <c r="H14" s="23"/>
      <c r="I14" s="20">
        <v>0.0</v>
      </c>
      <c r="J14" s="23"/>
      <c r="K14" s="20">
        <v>0.0</v>
      </c>
      <c r="L14" s="23"/>
      <c r="M14" s="12"/>
      <c r="N14" s="23"/>
      <c r="O14" s="12"/>
    </row>
    <row r="15">
      <c r="A15" s="20">
        <v>0.0</v>
      </c>
      <c r="B15" s="24"/>
      <c r="C15" s="20">
        <v>0.0</v>
      </c>
      <c r="D15" s="23"/>
      <c r="E15" s="12">
        <v>0.0</v>
      </c>
      <c r="F15" s="23"/>
      <c r="G15" s="20">
        <v>0.0</v>
      </c>
      <c r="H15" s="23"/>
      <c r="I15" s="20">
        <v>0.0</v>
      </c>
      <c r="J15" s="23"/>
      <c r="K15" s="20">
        <v>0.0</v>
      </c>
      <c r="L15" s="23"/>
      <c r="M15" s="12"/>
      <c r="N15" s="23"/>
      <c r="O15" s="12"/>
    </row>
    <row r="16">
      <c r="A16" s="20">
        <v>0.0</v>
      </c>
      <c r="B16" s="24"/>
      <c r="C16" s="20">
        <v>0.0</v>
      </c>
      <c r="D16" s="23"/>
      <c r="E16" s="12">
        <v>0.0</v>
      </c>
      <c r="F16" s="23"/>
      <c r="G16" s="20">
        <v>0.0</v>
      </c>
      <c r="H16" s="23"/>
      <c r="I16" s="20">
        <v>0.0</v>
      </c>
      <c r="J16" s="23"/>
      <c r="K16" s="20">
        <v>0.0</v>
      </c>
      <c r="L16" s="23"/>
      <c r="M16" s="12"/>
      <c r="N16" s="23"/>
      <c r="O16" s="12"/>
    </row>
    <row r="17">
      <c r="A17" s="20">
        <v>0.0</v>
      </c>
      <c r="B17" s="24"/>
      <c r="C17" s="20">
        <v>0.0</v>
      </c>
      <c r="D17" s="23"/>
      <c r="E17" s="12">
        <v>0.0</v>
      </c>
      <c r="F17" s="23"/>
      <c r="G17" s="20">
        <v>0.0</v>
      </c>
      <c r="H17" s="23"/>
      <c r="I17" s="20">
        <v>0.0</v>
      </c>
      <c r="J17" s="23"/>
      <c r="K17" s="20">
        <v>0.0</v>
      </c>
      <c r="L17" s="23"/>
      <c r="M17" s="12"/>
      <c r="N17" s="23"/>
      <c r="O17" s="12"/>
    </row>
    <row r="18">
      <c r="A18" s="20">
        <v>0.0</v>
      </c>
      <c r="B18" s="23"/>
      <c r="C18" s="20">
        <v>0.0</v>
      </c>
      <c r="D18" s="23"/>
      <c r="E18" s="12">
        <v>0.0</v>
      </c>
      <c r="F18" s="23"/>
      <c r="G18" s="20">
        <v>0.0</v>
      </c>
      <c r="H18" s="23"/>
      <c r="I18" s="20">
        <v>0.0</v>
      </c>
      <c r="J18" s="23"/>
      <c r="K18" s="20">
        <v>0.0</v>
      </c>
      <c r="L18" s="23"/>
      <c r="M18" s="12"/>
      <c r="N18" s="23"/>
      <c r="O18" s="12"/>
    </row>
    <row r="19">
      <c r="A19" s="20">
        <v>0.0</v>
      </c>
      <c r="B19" s="24"/>
      <c r="C19" s="20">
        <v>0.0</v>
      </c>
      <c r="D19" s="23"/>
      <c r="E19" s="12">
        <v>0.0</v>
      </c>
      <c r="F19" s="23"/>
      <c r="G19" s="20">
        <v>0.0</v>
      </c>
      <c r="H19" s="23"/>
      <c r="I19" s="20">
        <v>0.0</v>
      </c>
      <c r="J19" s="23"/>
      <c r="K19" s="20">
        <v>0.0</v>
      </c>
      <c r="L19" s="23"/>
      <c r="M19" s="12"/>
      <c r="N19" s="23"/>
      <c r="O19" s="12"/>
    </row>
    <row r="20">
      <c r="A20" s="20">
        <v>0.0</v>
      </c>
      <c r="B20" s="24"/>
      <c r="C20" s="20">
        <v>0.0</v>
      </c>
      <c r="D20" s="9"/>
      <c r="E20" s="12">
        <v>0.0</v>
      </c>
      <c r="F20" s="23"/>
      <c r="G20" s="20">
        <v>0.0</v>
      </c>
      <c r="H20" s="23"/>
      <c r="I20" s="20">
        <v>0.0</v>
      </c>
      <c r="J20" s="23"/>
      <c r="K20" s="20">
        <v>0.0</v>
      </c>
      <c r="L20" s="23"/>
      <c r="M20" s="12"/>
      <c r="N20" s="23"/>
      <c r="O20" s="12"/>
    </row>
    <row r="21">
      <c r="A21" s="20">
        <v>0.0</v>
      </c>
      <c r="B21" s="24"/>
      <c r="C21" s="20">
        <v>0.0</v>
      </c>
      <c r="D21" s="23"/>
      <c r="E21" s="12">
        <v>0.0</v>
      </c>
      <c r="F21" s="23"/>
      <c r="G21" s="20">
        <v>0.0</v>
      </c>
      <c r="H21" s="23"/>
      <c r="I21" s="20">
        <v>0.0</v>
      </c>
      <c r="J21" s="23"/>
      <c r="K21" s="20">
        <v>0.0</v>
      </c>
      <c r="L21" s="23"/>
      <c r="M21" s="12"/>
      <c r="N21" s="23"/>
      <c r="O21" s="12"/>
    </row>
    <row r="22">
      <c r="A22" s="20">
        <v>0.0</v>
      </c>
      <c r="B22" s="23"/>
      <c r="C22" s="20">
        <v>0.0</v>
      </c>
      <c r="D22" s="23"/>
      <c r="E22" s="12">
        <v>0.0</v>
      </c>
      <c r="F22" s="23"/>
      <c r="G22" s="20">
        <v>0.0</v>
      </c>
      <c r="H22" s="23"/>
      <c r="I22" s="20">
        <v>0.0</v>
      </c>
      <c r="J22" s="23"/>
      <c r="K22" s="20">
        <v>0.0</v>
      </c>
      <c r="L22" s="23"/>
      <c r="M22" s="12"/>
      <c r="N22" s="23"/>
      <c r="O22" s="12"/>
    </row>
    <row r="23">
      <c r="A23" s="20">
        <v>0.0</v>
      </c>
      <c r="B23" s="23"/>
      <c r="C23" s="20">
        <v>0.0</v>
      </c>
      <c r="D23" s="23"/>
      <c r="E23" s="12">
        <v>0.0</v>
      </c>
      <c r="F23" s="23"/>
      <c r="G23" s="20">
        <v>0.0</v>
      </c>
      <c r="H23" s="9"/>
      <c r="I23" s="20">
        <v>0.0</v>
      </c>
      <c r="J23" s="23"/>
      <c r="K23" s="20">
        <v>0.0</v>
      </c>
      <c r="L23" s="23"/>
      <c r="M23" s="12"/>
      <c r="N23" s="23"/>
      <c r="O23" s="12"/>
    </row>
    <row r="24">
      <c r="A24" s="20">
        <v>0.0</v>
      </c>
      <c r="B24" s="23"/>
      <c r="C24" s="20">
        <v>0.0</v>
      </c>
      <c r="D24" s="23"/>
      <c r="E24" s="12">
        <v>0.0</v>
      </c>
      <c r="F24" s="23"/>
      <c r="G24" s="20">
        <v>0.0</v>
      </c>
      <c r="H24" s="23"/>
      <c r="I24" s="20">
        <v>0.0</v>
      </c>
      <c r="J24" s="23"/>
      <c r="K24" s="20">
        <v>0.0</v>
      </c>
      <c r="L24" s="23"/>
      <c r="M24" s="12"/>
      <c r="N24" s="23"/>
      <c r="O24" s="12"/>
    </row>
    <row r="25">
      <c r="A25" s="20">
        <v>0.0</v>
      </c>
      <c r="B25" s="23"/>
      <c r="C25" s="20">
        <v>0.0</v>
      </c>
      <c r="D25" s="23"/>
      <c r="E25" s="12">
        <v>0.0</v>
      </c>
      <c r="F25" s="23"/>
      <c r="G25" s="20">
        <v>0.0</v>
      </c>
      <c r="H25" s="23"/>
      <c r="I25" s="20">
        <v>0.0</v>
      </c>
      <c r="J25" s="23"/>
      <c r="K25" s="20">
        <v>0.0</v>
      </c>
      <c r="L25" s="23"/>
      <c r="M25" s="12"/>
      <c r="N25" s="23"/>
      <c r="O25" s="12"/>
    </row>
    <row r="26">
      <c r="A26" s="20">
        <v>0.0</v>
      </c>
      <c r="B26" s="23"/>
      <c r="C26" s="20">
        <v>0.0</v>
      </c>
      <c r="D26" s="23"/>
      <c r="E26" s="12">
        <v>0.0</v>
      </c>
      <c r="F26" s="23"/>
      <c r="G26" s="20">
        <v>0.0</v>
      </c>
      <c r="H26" s="23"/>
      <c r="I26" s="20">
        <v>0.0</v>
      </c>
      <c r="J26" s="23"/>
      <c r="K26" s="20">
        <v>0.0</v>
      </c>
      <c r="L26" s="23"/>
      <c r="M26" s="12"/>
      <c r="N26" s="23"/>
      <c r="O26" s="12"/>
    </row>
    <row r="27">
      <c r="A27" s="20">
        <v>0.0</v>
      </c>
      <c r="B27" s="23"/>
      <c r="C27" s="20">
        <v>0.0</v>
      </c>
      <c r="D27" s="23"/>
      <c r="E27" s="12">
        <v>0.0</v>
      </c>
      <c r="F27" s="23"/>
      <c r="G27" s="20">
        <v>0.0</v>
      </c>
      <c r="H27" s="23"/>
      <c r="I27" s="20">
        <v>0.0</v>
      </c>
      <c r="J27" s="23"/>
      <c r="K27" s="20">
        <v>0.0</v>
      </c>
      <c r="L27" s="23"/>
      <c r="M27" s="12"/>
      <c r="N27" s="23"/>
      <c r="O27" s="12"/>
    </row>
    <row r="28">
      <c r="A28" s="20">
        <v>0.0</v>
      </c>
      <c r="B28" s="23"/>
      <c r="C28" s="20">
        <v>0.0</v>
      </c>
      <c r="D28" s="23"/>
      <c r="E28" s="12">
        <v>0.0</v>
      </c>
      <c r="F28" s="23"/>
      <c r="G28" s="20">
        <v>0.0</v>
      </c>
      <c r="H28" s="23"/>
      <c r="I28" s="20">
        <v>0.0</v>
      </c>
      <c r="J28" s="23"/>
      <c r="K28" s="20">
        <v>0.0</v>
      </c>
      <c r="L28" s="23"/>
      <c r="M28" s="12"/>
      <c r="N28" s="23"/>
      <c r="O28" s="12"/>
    </row>
    <row r="29">
      <c r="A29" s="20">
        <v>0.0</v>
      </c>
      <c r="B29" s="23"/>
      <c r="C29" s="20">
        <v>0.0</v>
      </c>
      <c r="D29" s="23"/>
      <c r="E29" s="12">
        <v>0.0</v>
      </c>
      <c r="F29" s="23"/>
      <c r="G29" s="20">
        <v>0.0</v>
      </c>
      <c r="H29" s="23"/>
      <c r="I29" s="20">
        <v>0.0</v>
      </c>
      <c r="J29" s="23"/>
      <c r="K29" s="20">
        <v>0.0</v>
      </c>
      <c r="L29" s="23"/>
      <c r="M29" s="12"/>
      <c r="N29" s="23"/>
      <c r="O29" s="12"/>
    </row>
    <row r="30">
      <c r="A30" s="26">
        <f>SUM(A3:A29)</f>
        <v>4713.88</v>
      </c>
      <c r="B30" s="26"/>
      <c r="C30" s="26">
        <f>SUM(C3:C29)</f>
        <v>5174.6</v>
      </c>
      <c r="D30" s="26"/>
      <c r="E30" s="26">
        <f>SUM(E3:E29)</f>
        <v>4886.43</v>
      </c>
      <c r="F30" s="26"/>
      <c r="G30" s="26">
        <f>SUM(G3:G29)</f>
        <v>4995.6</v>
      </c>
      <c r="H30" s="26"/>
      <c r="I30" s="26">
        <f>SUM(I3:I29)</f>
        <v>5152.82</v>
      </c>
      <c r="J30" s="26"/>
      <c r="K30" s="26">
        <f>SUM(K3:K29)</f>
        <v>5051.68</v>
      </c>
      <c r="L30" s="26"/>
      <c r="M30" s="26"/>
      <c r="N30" s="23"/>
      <c r="O30" s="26"/>
    </row>
    <row r="31">
      <c r="A31" s="7" t="s">
        <v>12</v>
      </c>
      <c r="B31" s="28">
        <f>A30+C30+E30+G30+I30+K30</f>
        <v>29975.01</v>
      </c>
      <c r="L31" s="38"/>
      <c r="M31" s="38"/>
      <c r="N31" s="38"/>
      <c r="O31" s="38"/>
    </row>
    <row r="32">
      <c r="A32" s="29"/>
      <c r="B32" s="30"/>
      <c r="C32" s="31"/>
      <c r="D32" s="23"/>
      <c r="E32" s="32"/>
      <c r="F32" s="23"/>
      <c r="G32" s="32"/>
      <c r="H32" s="23"/>
      <c r="I32" s="32"/>
      <c r="J32" s="23"/>
      <c r="K32" s="32"/>
    </row>
    <row r="33">
      <c r="C33" s="37">
        <v>5174.6</v>
      </c>
    </row>
    <row r="34">
      <c r="E34" s="37">
        <v>4886.43</v>
      </c>
      <c r="K34" s="37">
        <v>5051.68</v>
      </c>
    </row>
    <row r="36">
      <c r="E36" s="33"/>
    </row>
    <row r="37">
      <c r="E37" s="33"/>
    </row>
  </sheetData>
  <mergeCells count="2">
    <mergeCell ref="A1:L1"/>
    <mergeCell ref="B31:K3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8" max="8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6" t="s">
        <v>17</v>
      </c>
      <c r="B2" s="5" t="s">
        <v>1</v>
      </c>
      <c r="C2" s="6" t="s">
        <v>18</v>
      </c>
      <c r="D2" s="5" t="s">
        <v>1</v>
      </c>
      <c r="E2" s="6" t="s">
        <v>19</v>
      </c>
      <c r="F2" s="5" t="s">
        <v>1</v>
      </c>
      <c r="G2" s="6" t="s">
        <v>20</v>
      </c>
      <c r="H2" s="5" t="s">
        <v>1</v>
      </c>
      <c r="I2" s="8"/>
      <c r="J2" s="27"/>
      <c r="K2" s="8"/>
      <c r="M2" s="9"/>
      <c r="O2" s="9"/>
    </row>
    <row r="3">
      <c r="A3" s="20">
        <v>30.0</v>
      </c>
      <c r="B3" s="9" t="s">
        <v>3</v>
      </c>
      <c r="C3" s="20">
        <v>30.0</v>
      </c>
      <c r="D3" s="9" t="s">
        <v>3</v>
      </c>
      <c r="E3" s="20">
        <v>30.0</v>
      </c>
      <c r="F3" s="9" t="s">
        <v>3</v>
      </c>
      <c r="G3" s="20">
        <v>30.0</v>
      </c>
      <c r="H3" s="9" t="s">
        <v>3</v>
      </c>
      <c r="I3" s="12"/>
      <c r="J3" s="23"/>
      <c r="K3" s="12"/>
      <c r="M3" s="33"/>
      <c r="O3" s="33"/>
    </row>
    <row r="4">
      <c r="A4" s="20">
        <f>3700+94.23</f>
        <v>3794.23</v>
      </c>
      <c r="B4" s="13" t="s">
        <v>4</v>
      </c>
      <c r="C4" s="20">
        <f>3700+70.22</f>
        <v>3770.22</v>
      </c>
      <c r="D4" s="13" t="s">
        <v>4</v>
      </c>
      <c r="E4" s="20">
        <f>6713.04</f>
        <v>6713.04</v>
      </c>
      <c r="F4" s="13" t="s">
        <v>4</v>
      </c>
      <c r="G4" s="20">
        <v>4503.0</v>
      </c>
      <c r="H4" s="13" t="s">
        <v>4</v>
      </c>
      <c r="I4" s="12"/>
      <c r="J4" s="23"/>
      <c r="K4" s="12"/>
      <c r="M4" s="33"/>
      <c r="O4" s="33"/>
    </row>
    <row r="5">
      <c r="A5" s="20">
        <v>35.88</v>
      </c>
      <c r="B5" s="13" t="s">
        <v>5</v>
      </c>
      <c r="C5" s="20">
        <v>194.48</v>
      </c>
      <c r="D5" s="13" t="s">
        <v>5</v>
      </c>
      <c r="E5" s="20">
        <v>418.62</v>
      </c>
      <c r="F5" s="13" t="s">
        <v>5</v>
      </c>
      <c r="G5" s="20">
        <v>0.0</v>
      </c>
      <c r="H5" s="13" t="s">
        <v>5</v>
      </c>
      <c r="I5" s="12"/>
      <c r="J5" s="23"/>
      <c r="K5" s="12"/>
      <c r="M5" s="33"/>
      <c r="O5" s="33"/>
    </row>
    <row r="6">
      <c r="A6" s="20">
        <v>0.0</v>
      </c>
      <c r="B6" s="14" t="s">
        <v>4</v>
      </c>
      <c r="C6" s="20">
        <v>0.0</v>
      </c>
      <c r="D6" s="14" t="s">
        <v>4</v>
      </c>
      <c r="E6" s="20">
        <v>0.0</v>
      </c>
      <c r="F6" s="14" t="s">
        <v>4</v>
      </c>
      <c r="G6" s="20">
        <v>0.0</v>
      </c>
      <c r="H6" s="14" t="s">
        <v>4</v>
      </c>
      <c r="I6" s="12"/>
      <c r="J6" s="23"/>
      <c r="K6" s="12"/>
      <c r="M6" s="33"/>
      <c r="O6" s="33"/>
    </row>
    <row r="7">
      <c r="A7" s="20">
        <v>0.0</v>
      </c>
      <c r="B7" s="15" t="s">
        <v>7</v>
      </c>
      <c r="C7" s="20">
        <v>0.0</v>
      </c>
      <c r="D7" s="15" t="s">
        <v>7</v>
      </c>
      <c r="E7" s="20">
        <v>0.0</v>
      </c>
      <c r="F7" s="15" t="s">
        <v>7</v>
      </c>
      <c r="G7" s="20">
        <v>0.0</v>
      </c>
      <c r="H7" s="15" t="s">
        <v>7</v>
      </c>
      <c r="I7" s="12"/>
      <c r="J7" s="23"/>
      <c r="K7" s="12"/>
      <c r="M7" s="33"/>
      <c r="O7" s="33"/>
    </row>
    <row r="8">
      <c r="A8" s="20">
        <v>266.33</v>
      </c>
      <c r="B8" s="15" t="s">
        <v>8</v>
      </c>
      <c r="C8" s="20">
        <v>266.33</v>
      </c>
      <c r="D8" s="15" t="s">
        <v>8</v>
      </c>
      <c r="E8" s="20">
        <v>266.33</v>
      </c>
      <c r="F8" s="15" t="s">
        <v>8</v>
      </c>
      <c r="G8" s="20">
        <v>266.33</v>
      </c>
      <c r="H8" s="15" t="s">
        <v>8</v>
      </c>
      <c r="I8" s="12"/>
      <c r="J8" s="23"/>
      <c r="K8" s="12"/>
      <c r="M8" s="33"/>
      <c r="O8" s="33"/>
    </row>
    <row r="9">
      <c r="A9" s="20">
        <v>90.0</v>
      </c>
      <c r="B9" s="15" t="s">
        <v>9</v>
      </c>
      <c r="C9" s="20">
        <v>90.0</v>
      </c>
      <c r="D9" s="15" t="s">
        <v>9</v>
      </c>
      <c r="E9" s="20">
        <f>90+670</f>
        <v>760</v>
      </c>
      <c r="F9" s="15" t="s">
        <v>9</v>
      </c>
      <c r="G9" s="20">
        <f>400+90</f>
        <v>490</v>
      </c>
      <c r="H9" s="15" t="s">
        <v>9</v>
      </c>
      <c r="I9" s="12"/>
      <c r="J9" s="23"/>
      <c r="K9" s="12"/>
      <c r="M9" s="33"/>
      <c r="O9" s="33"/>
    </row>
    <row r="10">
      <c r="A10" s="20">
        <v>0.0</v>
      </c>
      <c r="B10" s="17" t="s">
        <v>10</v>
      </c>
      <c r="C10" s="20">
        <v>0.0</v>
      </c>
      <c r="D10" s="17" t="s">
        <v>10</v>
      </c>
      <c r="E10" s="20">
        <v>0.0</v>
      </c>
      <c r="F10" s="17" t="s">
        <v>10</v>
      </c>
      <c r="G10" s="20">
        <v>0.0</v>
      </c>
      <c r="H10" s="17" t="s">
        <v>10</v>
      </c>
      <c r="I10" s="12"/>
      <c r="J10" s="23"/>
      <c r="K10" s="12"/>
      <c r="M10" s="33"/>
      <c r="O10" s="33"/>
    </row>
    <row r="11">
      <c r="A11" s="20">
        <v>0.0</v>
      </c>
      <c r="B11" s="19"/>
      <c r="C11" s="20">
        <v>0.0</v>
      </c>
      <c r="D11" s="19"/>
      <c r="E11" s="12">
        <v>0.0</v>
      </c>
      <c r="F11" s="19"/>
      <c r="G11" s="20">
        <v>0.0</v>
      </c>
      <c r="H11" s="23"/>
      <c r="I11" s="12"/>
      <c r="J11" s="9"/>
      <c r="K11" s="12"/>
      <c r="M11" s="33"/>
      <c r="O11" s="33"/>
    </row>
    <row r="12">
      <c r="A12" s="20">
        <v>0.0</v>
      </c>
      <c r="B12" s="24"/>
      <c r="C12" s="20">
        <v>0.0</v>
      </c>
      <c r="D12" s="23"/>
      <c r="E12" s="12">
        <v>0.0</v>
      </c>
      <c r="F12" s="23"/>
      <c r="G12" s="20">
        <v>0.0</v>
      </c>
      <c r="I12" s="12"/>
      <c r="J12" s="23"/>
      <c r="K12" s="12"/>
      <c r="M12" s="33"/>
      <c r="O12" s="33"/>
    </row>
    <row r="13">
      <c r="A13" s="20">
        <v>0.0</v>
      </c>
      <c r="B13" s="9"/>
      <c r="C13" s="20">
        <v>0.0</v>
      </c>
      <c r="D13" s="23"/>
      <c r="E13" s="12">
        <v>0.0</v>
      </c>
      <c r="F13" s="23"/>
      <c r="G13" s="20">
        <v>0.0</v>
      </c>
      <c r="H13" s="23"/>
      <c r="I13" s="23"/>
      <c r="J13" s="23"/>
      <c r="K13" s="12"/>
      <c r="M13" s="33"/>
      <c r="O13" s="33"/>
    </row>
    <row r="14">
      <c r="A14" s="20">
        <v>0.0</v>
      </c>
      <c r="B14" s="24"/>
      <c r="C14" s="20">
        <v>0.0</v>
      </c>
      <c r="D14" s="23"/>
      <c r="E14" s="12">
        <v>0.0</v>
      </c>
      <c r="F14" s="23"/>
      <c r="G14" s="20">
        <v>0.0</v>
      </c>
      <c r="H14" s="23"/>
      <c r="I14" s="23"/>
      <c r="J14" s="23"/>
      <c r="K14" s="12"/>
      <c r="M14" s="33"/>
      <c r="O14" s="33"/>
    </row>
    <row r="15">
      <c r="A15" s="20">
        <v>0.0</v>
      </c>
      <c r="B15" s="24"/>
      <c r="C15" s="20">
        <v>0.0</v>
      </c>
      <c r="D15" s="23"/>
      <c r="E15" s="12">
        <v>0.0</v>
      </c>
      <c r="F15" s="23"/>
      <c r="G15" s="20">
        <v>0.0</v>
      </c>
      <c r="H15" s="23"/>
      <c r="I15" s="23"/>
      <c r="J15" s="23"/>
      <c r="K15" s="12"/>
      <c r="M15" s="33"/>
      <c r="O15" s="33"/>
    </row>
    <row r="16">
      <c r="A16" s="20">
        <v>0.0</v>
      </c>
      <c r="B16" s="24"/>
      <c r="C16" s="20">
        <v>0.0</v>
      </c>
      <c r="D16" s="23"/>
      <c r="E16" s="12">
        <v>0.0</v>
      </c>
      <c r="F16" s="23"/>
      <c r="G16" s="20">
        <v>0.0</v>
      </c>
      <c r="H16" s="23"/>
      <c r="I16" s="23"/>
      <c r="J16" s="23"/>
      <c r="K16" s="12"/>
      <c r="M16" s="33"/>
      <c r="O16" s="33"/>
    </row>
    <row r="17">
      <c r="A17" s="20">
        <v>0.0</v>
      </c>
      <c r="B17" s="24"/>
      <c r="C17" s="20">
        <v>0.0</v>
      </c>
      <c r="D17" s="23"/>
      <c r="E17" s="12">
        <v>0.0</v>
      </c>
      <c r="F17" s="23"/>
      <c r="G17" s="20">
        <v>0.0</v>
      </c>
      <c r="H17" s="23"/>
      <c r="I17" s="23"/>
      <c r="J17" s="23"/>
      <c r="K17" s="12"/>
      <c r="M17" s="33"/>
      <c r="O17" s="33"/>
    </row>
    <row r="18">
      <c r="A18" s="20">
        <v>0.0</v>
      </c>
      <c r="B18" s="23"/>
      <c r="C18" s="20">
        <v>0.0</v>
      </c>
      <c r="D18" s="23"/>
      <c r="E18" s="12">
        <v>0.0</v>
      </c>
      <c r="F18" s="23"/>
      <c r="G18" s="20">
        <v>0.0</v>
      </c>
      <c r="H18" s="23"/>
      <c r="I18" s="23"/>
      <c r="J18" s="23"/>
      <c r="K18" s="12"/>
      <c r="M18" s="33"/>
      <c r="O18" s="33"/>
    </row>
    <row r="19">
      <c r="A19" s="20">
        <v>0.0</v>
      </c>
      <c r="B19" s="24"/>
      <c r="C19" s="20">
        <v>0.0</v>
      </c>
      <c r="D19" s="23"/>
      <c r="E19" s="12">
        <v>0.0</v>
      </c>
      <c r="F19" s="23"/>
      <c r="G19" s="20">
        <v>0.0</v>
      </c>
      <c r="H19" s="23"/>
      <c r="I19" s="23"/>
      <c r="J19" s="23"/>
      <c r="K19" s="12"/>
      <c r="M19" s="33"/>
      <c r="O19" s="33"/>
    </row>
    <row r="20">
      <c r="A20" s="20">
        <v>0.0</v>
      </c>
      <c r="B20" s="24"/>
      <c r="C20" s="20">
        <v>0.0</v>
      </c>
      <c r="D20" s="9"/>
      <c r="E20" s="12">
        <v>0.0</v>
      </c>
      <c r="F20" s="23"/>
      <c r="G20" s="20">
        <v>0.0</v>
      </c>
      <c r="H20" s="23"/>
      <c r="I20" s="23"/>
      <c r="J20" s="23"/>
      <c r="K20" s="12"/>
      <c r="M20" s="33"/>
      <c r="O20" s="33"/>
    </row>
    <row r="21">
      <c r="A21" s="20">
        <v>0.0</v>
      </c>
      <c r="B21" s="24"/>
      <c r="C21" s="20">
        <v>0.0</v>
      </c>
      <c r="D21" s="23"/>
      <c r="E21" s="12">
        <v>0.0</v>
      </c>
      <c r="F21" s="23"/>
      <c r="G21" s="20">
        <v>0.0</v>
      </c>
      <c r="H21" s="23"/>
      <c r="I21" s="23"/>
      <c r="J21" s="23"/>
      <c r="K21" s="12"/>
      <c r="M21" s="33"/>
      <c r="O21" s="33"/>
    </row>
    <row r="22">
      <c r="A22" s="20">
        <v>0.0</v>
      </c>
      <c r="B22" s="23"/>
      <c r="C22" s="20">
        <v>0.0</v>
      </c>
      <c r="D22" s="23"/>
      <c r="E22" s="12">
        <v>0.0</v>
      </c>
      <c r="F22" s="23"/>
      <c r="G22" s="20">
        <v>0.0</v>
      </c>
      <c r="H22" s="23"/>
      <c r="I22" s="23"/>
      <c r="J22" s="23"/>
      <c r="K22" s="12"/>
      <c r="M22" s="33"/>
      <c r="O22" s="33"/>
    </row>
    <row r="23">
      <c r="A23" s="20">
        <v>0.0</v>
      </c>
      <c r="B23" s="23"/>
      <c r="C23" s="20">
        <v>0.0</v>
      </c>
      <c r="D23" s="23"/>
      <c r="E23" s="12">
        <v>0.0</v>
      </c>
      <c r="F23" s="23"/>
      <c r="G23" s="20">
        <v>0.0</v>
      </c>
      <c r="H23" s="9"/>
      <c r="I23" s="12"/>
      <c r="J23" s="23"/>
      <c r="K23" s="12"/>
      <c r="M23" s="33"/>
      <c r="O23" s="33"/>
    </row>
    <row r="24">
      <c r="A24" s="20">
        <v>0.0</v>
      </c>
      <c r="B24" s="23"/>
      <c r="C24" s="20">
        <v>0.0</v>
      </c>
      <c r="D24" s="23"/>
      <c r="E24" s="12">
        <v>0.0</v>
      </c>
      <c r="F24" s="23"/>
      <c r="G24" s="20">
        <v>0.0</v>
      </c>
      <c r="H24" s="23"/>
      <c r="I24" s="12"/>
      <c r="J24" s="23"/>
      <c r="K24" s="12"/>
      <c r="M24" s="33"/>
      <c r="O24" s="33"/>
    </row>
    <row r="25">
      <c r="A25" s="20">
        <v>0.0</v>
      </c>
      <c r="B25" s="23"/>
      <c r="C25" s="20">
        <v>0.0</v>
      </c>
      <c r="D25" s="23"/>
      <c r="E25" s="12">
        <v>0.0</v>
      </c>
      <c r="F25" s="23"/>
      <c r="G25" s="20">
        <v>0.0</v>
      </c>
      <c r="H25" s="23"/>
      <c r="I25" s="12"/>
      <c r="J25" s="23"/>
      <c r="K25" s="12"/>
      <c r="M25" s="33"/>
      <c r="O25" s="33"/>
    </row>
    <row r="26">
      <c r="A26" s="20">
        <v>0.0</v>
      </c>
      <c r="B26" s="23"/>
      <c r="C26" s="20">
        <v>0.0</v>
      </c>
      <c r="D26" s="23"/>
      <c r="E26" s="12">
        <v>0.0</v>
      </c>
      <c r="F26" s="23"/>
      <c r="G26" s="20">
        <v>0.0</v>
      </c>
      <c r="H26" s="23"/>
      <c r="I26" s="12"/>
      <c r="J26" s="23"/>
      <c r="K26" s="12"/>
      <c r="M26" s="33"/>
      <c r="O26" s="33"/>
    </row>
    <row r="27">
      <c r="A27" s="20">
        <v>0.0</v>
      </c>
      <c r="B27" s="23"/>
      <c r="C27" s="20">
        <v>0.0</v>
      </c>
      <c r="D27" s="23"/>
      <c r="E27" s="12">
        <v>0.0</v>
      </c>
      <c r="F27" s="23"/>
      <c r="G27" s="20">
        <v>0.0</v>
      </c>
      <c r="H27" s="23"/>
      <c r="I27" s="12"/>
      <c r="J27" s="23"/>
      <c r="K27" s="12"/>
      <c r="M27" s="33"/>
      <c r="O27" s="33"/>
    </row>
    <row r="28">
      <c r="A28" s="20">
        <v>0.0</v>
      </c>
      <c r="B28" s="23"/>
      <c r="C28" s="20">
        <v>0.0</v>
      </c>
      <c r="D28" s="23"/>
      <c r="E28" s="12">
        <v>0.0</v>
      </c>
      <c r="F28" s="23"/>
      <c r="G28" s="20">
        <v>0.0</v>
      </c>
      <c r="H28" s="23"/>
      <c r="I28" s="12"/>
      <c r="J28" s="23"/>
      <c r="K28" s="12"/>
      <c r="M28" s="33"/>
      <c r="O28" s="33"/>
    </row>
    <row r="29">
      <c r="A29" s="20">
        <v>0.0</v>
      </c>
      <c r="B29" s="23"/>
      <c r="C29" s="20">
        <v>0.0</v>
      </c>
      <c r="D29" s="23"/>
      <c r="E29" s="12">
        <v>0.0</v>
      </c>
      <c r="F29" s="23"/>
      <c r="G29" s="20">
        <v>0.0</v>
      </c>
      <c r="H29" s="23"/>
      <c r="I29" s="12"/>
      <c r="J29" s="23"/>
      <c r="K29" s="12"/>
      <c r="M29" s="33"/>
      <c r="O29" s="33"/>
    </row>
    <row r="30">
      <c r="A30" s="26">
        <f>SUM(A3:A29)</f>
        <v>4216.44</v>
      </c>
      <c r="B30" s="23"/>
      <c r="C30" s="26">
        <f>SUM(C3:C29)</f>
        <v>4351.03</v>
      </c>
      <c r="D30" s="27"/>
      <c r="E30" s="26">
        <f>SUM(E3:E29)</f>
        <v>8187.99</v>
      </c>
      <c r="F30" s="26"/>
      <c r="G30" s="26">
        <f>SUM(G3:G29)</f>
        <v>5289.33</v>
      </c>
      <c r="H30" s="23"/>
      <c r="I30" s="26"/>
      <c r="J30" s="23"/>
      <c r="K30" s="26"/>
      <c r="M30" s="36"/>
      <c r="O30" s="36"/>
    </row>
    <row r="31">
      <c r="A31" s="7" t="s">
        <v>12</v>
      </c>
      <c r="B31" s="28">
        <f>A30+C30+E30+G30+I30+K30</f>
        <v>22044.79</v>
      </c>
    </row>
    <row r="32">
      <c r="A32" s="29"/>
      <c r="B32" s="30"/>
      <c r="C32" s="31"/>
      <c r="D32" s="23"/>
      <c r="E32" s="32"/>
      <c r="F32" s="23"/>
      <c r="G32" s="32"/>
      <c r="H32" s="23"/>
      <c r="I32" s="32"/>
      <c r="J32" s="23"/>
      <c r="K32" s="32"/>
    </row>
    <row r="33">
      <c r="A33" s="37">
        <v>4216.44</v>
      </c>
      <c r="C33" s="37">
        <v>4351.03</v>
      </c>
      <c r="E33" s="37">
        <v>8187.99</v>
      </c>
      <c r="G33" s="37">
        <v>5289.33</v>
      </c>
    </row>
    <row r="36">
      <c r="E36" s="33"/>
    </row>
    <row r="37">
      <c r="E37" s="33"/>
    </row>
  </sheetData>
  <mergeCells count="2">
    <mergeCell ref="A1:K1"/>
    <mergeCell ref="B31:K3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4" width="27.88"/>
    <col customWidth="1" min="5" max="5" width="18.5"/>
    <col customWidth="1" min="6" max="6" width="15.63"/>
    <col customWidth="1" min="13" max="13" width="14.25"/>
  </cols>
  <sheetData>
    <row r="1">
      <c r="A1" s="39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5" t="s">
        <v>22</v>
      </c>
      <c r="B2" s="5"/>
      <c r="C2" s="5" t="s">
        <v>23</v>
      </c>
      <c r="D2" s="5"/>
      <c r="E2" s="7" t="s">
        <v>24</v>
      </c>
      <c r="F2" s="38"/>
      <c r="G2" s="7" t="s">
        <v>25</v>
      </c>
      <c r="H2" s="38"/>
      <c r="I2" s="7" t="s">
        <v>26</v>
      </c>
      <c r="J2" s="38"/>
      <c r="K2" s="7" t="s">
        <v>27</v>
      </c>
      <c r="L2" s="38"/>
      <c r="M2" s="7" t="s">
        <v>28</v>
      </c>
      <c r="N2" s="38"/>
      <c r="O2" s="7" t="s">
        <v>29</v>
      </c>
      <c r="P2" s="38"/>
      <c r="Q2" s="7" t="s">
        <v>30</v>
      </c>
      <c r="R2" s="30"/>
    </row>
    <row r="3">
      <c r="A3" s="12"/>
      <c r="B3" s="9" t="s">
        <v>31</v>
      </c>
      <c r="C3" s="12"/>
      <c r="D3" s="9" t="s">
        <v>31</v>
      </c>
      <c r="E3" s="12"/>
      <c r="F3" s="9" t="s">
        <v>31</v>
      </c>
      <c r="G3" s="12"/>
      <c r="H3" s="9" t="s">
        <v>31</v>
      </c>
      <c r="I3" s="12"/>
      <c r="J3" s="9" t="s">
        <v>31</v>
      </c>
      <c r="K3" s="33"/>
      <c r="L3" s="9" t="s">
        <v>31</v>
      </c>
      <c r="M3" s="12"/>
      <c r="N3" s="9" t="s">
        <v>31</v>
      </c>
      <c r="O3" s="33"/>
      <c r="P3" s="9" t="s">
        <v>31</v>
      </c>
      <c r="Q3" s="33"/>
      <c r="R3" s="9" t="s">
        <v>31</v>
      </c>
    </row>
    <row r="4">
      <c r="A4" s="12"/>
      <c r="B4" s="9" t="s">
        <v>32</v>
      </c>
      <c r="C4" s="12"/>
      <c r="D4" s="9" t="s">
        <v>32</v>
      </c>
      <c r="E4" s="12"/>
      <c r="F4" s="9" t="s">
        <v>32</v>
      </c>
      <c r="G4" s="12"/>
      <c r="H4" s="9" t="s">
        <v>32</v>
      </c>
      <c r="I4" s="12"/>
      <c r="J4" s="9" t="s">
        <v>32</v>
      </c>
      <c r="K4" s="33"/>
      <c r="L4" s="9" t="s">
        <v>32</v>
      </c>
      <c r="M4" s="12"/>
      <c r="N4" s="9" t="s">
        <v>32</v>
      </c>
      <c r="O4" s="33"/>
      <c r="P4" s="9" t="s">
        <v>32</v>
      </c>
      <c r="Q4" s="33"/>
      <c r="R4" s="9" t="s">
        <v>32</v>
      </c>
    </row>
    <row r="5">
      <c r="A5" s="20"/>
      <c r="B5" s="24"/>
      <c r="C5" s="12"/>
      <c r="D5" s="12"/>
      <c r="E5" s="20"/>
      <c r="F5" s="23"/>
      <c r="G5" s="12"/>
      <c r="H5" s="23"/>
      <c r="I5" s="12"/>
      <c r="J5" s="23"/>
      <c r="K5" s="12"/>
      <c r="L5" s="23"/>
      <c r="M5" s="12"/>
      <c r="N5" s="23"/>
      <c r="O5" s="12"/>
      <c r="P5" s="23"/>
      <c r="Q5" s="12"/>
    </row>
    <row r="6">
      <c r="A6" s="40"/>
      <c r="B6" s="23"/>
      <c r="C6" s="12"/>
      <c r="D6" s="12"/>
      <c r="E6" s="40"/>
      <c r="F6" s="27"/>
      <c r="G6" s="40"/>
      <c r="H6" s="26"/>
      <c r="I6" s="40"/>
      <c r="J6" s="23"/>
      <c r="K6" s="40"/>
      <c r="L6" s="23"/>
      <c r="M6" s="40"/>
      <c r="N6" s="23"/>
      <c r="O6" s="12"/>
      <c r="P6" s="23"/>
      <c r="Q6" s="12"/>
    </row>
    <row r="7">
      <c r="A7" s="41" t="s">
        <v>33</v>
      </c>
      <c r="B7" s="4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3"/>
    </row>
    <row r="8">
      <c r="A8" s="41" t="s">
        <v>34</v>
      </c>
      <c r="B8" s="4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</row>
  </sheetData>
  <mergeCells count="3">
    <mergeCell ref="A1:R1"/>
    <mergeCell ref="B7:R7"/>
    <mergeCell ref="B8:R8"/>
  </mergeCells>
  <drawing r:id="rId1"/>
</worksheet>
</file>