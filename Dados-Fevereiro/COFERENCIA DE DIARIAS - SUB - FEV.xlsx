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SENCE" sheetId="1" r:id="rId1"/>
    <sheet name="CULLINAN" sheetId="2" r:id="rId2"/>
    <sheet name="ATHOS" sheetId="3" r:id="rId3"/>
    <sheet name="NOBILE" sheetId="4" r:id="rId4"/>
    <sheet name="VISION" sheetId="5" r:id="rId5"/>
    <sheet name="FUSION" sheetId="6" r:id="rId6"/>
    <sheet name="METROPOLITAN" sheetId="7" r:id="rId7"/>
    <sheet name="MERCURE" sheetId="8" r:id="rId8"/>
    <sheet name="BRISAS" sheetId="9" r:id="rId9"/>
    <sheet name="RESULTADO SUB M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R$ -416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 rightToLeft="0"/>
  </sheetViews>
  <sheetData>
    <row r="1">
      <c r="A1" t="str">
        <v>FEV</v>
      </c>
    </row>
    <row r="2">
      <c r="A2">
        <v>302</v>
      </c>
      <c r="B2" t="str">
        <v/>
      </c>
      <c r="C2">
        <v>603</v>
      </c>
      <c r="D2" t="str">
        <v/>
      </c>
      <c r="E2" t="str">
        <v>-</v>
      </c>
      <c r="F2" t="str">
        <v/>
      </c>
      <c r="G2" t="str">
        <v>-</v>
      </c>
      <c r="H2" t="str">
        <v/>
      </c>
      <c r="I2" t="str">
        <v>-</v>
      </c>
      <c r="J2" t="str">
        <v/>
      </c>
      <c r="K2" t="str">
        <v>-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>
        <v>449.1648</v>
      </c>
      <c r="B3" t="str">
        <v/>
      </c>
      <c r="C3">
        <v>436.745</v>
      </c>
      <c r="D3" t="str">
        <v/>
      </c>
      <c r="E3" t="str">
        <v>R$ 0,00</v>
      </c>
      <c r="F3" t="str">
        <v/>
      </c>
      <c r="G3" t="str">
        <v>R$ 0,00</v>
      </c>
      <c r="H3" t="str">
        <v/>
      </c>
      <c r="I3" t="str">
        <v>R$ 0,00</v>
      </c>
      <c r="J3" t="str">
        <v/>
      </c>
      <c r="K3" t="str">
        <v>R$ 0,00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>
        <v>810.4236</v>
      </c>
      <c r="B4" t="str">
        <v/>
      </c>
      <c r="C4">
        <v>284.61</v>
      </c>
      <c r="D4" t="str">
        <v/>
      </c>
      <c r="E4" t="str">
        <v>R$ 0,00</v>
      </c>
      <c r="F4" t="str">
        <v/>
      </c>
      <c r="G4" t="str">
        <v>R$ 0,00</v>
      </c>
      <c r="H4" t="str">
        <v/>
      </c>
      <c r="I4" t="str">
        <v>R$ 0,00</v>
      </c>
      <c r="J4" t="str">
        <v/>
      </c>
      <c r="K4" t="str">
        <v>R$ 0,00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>
        <v>284.61</v>
      </c>
      <c r="B5" t="str">
        <v/>
      </c>
      <c r="C5">
        <v>243.73</v>
      </c>
      <c r="D5" t="str">
        <v/>
      </c>
      <c r="E5" t="str">
        <v>R$ 0,00</v>
      </c>
      <c r="F5" t="str">
        <v/>
      </c>
      <c r="G5" t="str">
        <v>R$ 0,00</v>
      </c>
      <c r="H5" t="str">
        <v/>
      </c>
      <c r="I5" t="str">
        <v>R$ 0,00</v>
      </c>
      <c r="J5" t="str">
        <v/>
      </c>
      <c r="K5" t="str">
        <v>R$ 0,00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>
        <v>303.43</v>
      </c>
      <c r="B6" t="str">
        <v/>
      </c>
      <c r="C6">
        <v>227.36</v>
      </c>
      <c r="D6" t="str">
        <v/>
      </c>
      <c r="E6" t="str">
        <v>R$ 0,00</v>
      </c>
      <c r="F6" t="str">
        <v/>
      </c>
      <c r="G6" t="str">
        <v>R$ 0,00</v>
      </c>
      <c r="H6" t="str">
        <v/>
      </c>
      <c r="I6" t="str">
        <v>R$ 0,00</v>
      </c>
      <c r="J6" t="str">
        <v/>
      </c>
      <c r="K6" t="str">
        <v>R$ 0,00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>
        <v>346.78</v>
      </c>
      <c r="B7" t="str">
        <v/>
      </c>
      <c r="C7">
        <v>346.78</v>
      </c>
      <c r="D7" t="str">
        <v/>
      </c>
      <c r="E7" t="str">
        <v>R$ 0,00</v>
      </c>
      <c r="F7" t="str">
        <v/>
      </c>
      <c r="G7" t="str">
        <v>R$ 0,00</v>
      </c>
      <c r="H7" t="str">
        <v/>
      </c>
      <c r="I7" t="str">
        <v>R$ 0,00</v>
      </c>
      <c r="J7" t="str">
        <v/>
      </c>
      <c r="K7" t="str">
        <v>R$ 0,00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>
        <v>237.19</v>
      </c>
      <c r="B8" t="str">
        <v/>
      </c>
      <c r="C8">
        <v>237.19</v>
      </c>
      <c r="D8" t="str">
        <v/>
      </c>
      <c r="E8" t="str">
        <v>R$ 0,00</v>
      </c>
      <c r="F8" t="str">
        <v/>
      </c>
      <c r="G8" t="str">
        <v>R$ 0,00</v>
      </c>
      <c r="H8" t="str">
        <v/>
      </c>
      <c r="I8" t="str">
        <v>R$ 0,00</v>
      </c>
      <c r="J8" t="str">
        <v/>
      </c>
      <c r="K8" t="str">
        <v>R$ 0,00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>
        <v>473.55</v>
      </c>
      <c r="B9" t="str">
        <v/>
      </c>
      <c r="C9">
        <v>502.17</v>
      </c>
      <c r="D9" t="str">
        <v/>
      </c>
      <c r="E9" t="str">
        <v>R$ 0,00</v>
      </c>
      <c r="F9" t="str">
        <v/>
      </c>
      <c r="G9" t="str">
        <v>R$ 0,00</v>
      </c>
      <c r="H9" t="str">
        <v/>
      </c>
      <c r="I9" t="str">
        <v>R$ 0,00</v>
      </c>
      <c r="J9" t="str">
        <v/>
      </c>
      <c r="K9" t="str">
        <v>R$ 0,00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>
        <v>266.1288</v>
      </c>
      <c r="B10" t="str">
        <v/>
      </c>
      <c r="C10">
        <v>430.6008</v>
      </c>
      <c r="D10" t="str">
        <v/>
      </c>
      <c r="E10" t="str">
        <v>R$ 0,00</v>
      </c>
      <c r="F10" t="str">
        <v/>
      </c>
      <c r="G10" t="str">
        <v>R$ 0,00</v>
      </c>
      <c r="H10" t="str">
        <v/>
      </c>
      <c r="I10" t="str">
        <v>R$ 0,00</v>
      </c>
      <c r="J10" t="str">
        <v/>
      </c>
      <c r="K10" t="str">
        <v>R$ 0,00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>
        <v>723.2904</v>
      </c>
      <c r="B11" t="str">
        <v/>
      </c>
      <c r="C11">
        <v>274.81</v>
      </c>
      <c r="D11" t="str">
        <v/>
      </c>
      <c r="E11" t="str">
        <v>R$ 0,00</v>
      </c>
      <c r="F11" t="str">
        <v/>
      </c>
      <c r="G11" t="str">
        <v>R$ 0,00</v>
      </c>
      <c r="H11" t="str">
        <v/>
      </c>
      <c r="I11" t="str">
        <v>R$ 0,00</v>
      </c>
      <c r="J11" t="str">
        <v/>
      </c>
      <c r="K11" t="str">
        <v>R$ 0,00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>
        <v>521.64</v>
      </c>
      <c r="B12" t="str">
        <v/>
      </c>
      <c r="C12">
        <v>590.3268</v>
      </c>
      <c r="D12" t="str">
        <v/>
      </c>
      <c r="E12" t="str">
        <v>R$ 0,00</v>
      </c>
      <c r="F12" t="str">
        <v/>
      </c>
      <c r="G12" t="str">
        <v>R$ 0,00</v>
      </c>
      <c r="H12" t="str">
        <v/>
      </c>
      <c r="I12" t="str">
        <v>R$ 0,00</v>
      </c>
      <c r="J12" t="str">
        <v/>
      </c>
      <c r="K12" t="str">
        <v>R$ 0,00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>
        <v>256</v>
      </c>
      <c r="B13" t="str">
        <v/>
      </c>
      <c r="C13">
        <v>237.19</v>
      </c>
      <c r="D13" t="str">
        <v/>
      </c>
      <c r="E13" t="str">
        <v>R$ 0,00</v>
      </c>
      <c r="F13" t="str">
        <v/>
      </c>
      <c r="G13" t="str">
        <v>R$ 0,00</v>
      </c>
      <c r="H13" t="str">
        <v/>
      </c>
      <c r="I13" t="str">
        <v>R$ 0,00</v>
      </c>
      <c r="J13" t="str">
        <v/>
      </c>
      <c r="K13" t="str">
        <v>R$ 0,00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>
        <v>217.56</v>
      </c>
      <c r="B14" t="str">
        <v/>
      </c>
      <c r="C14">
        <v>265</v>
      </c>
      <c r="D14" t="str">
        <v/>
      </c>
      <c r="E14" t="str">
        <v>R$ 0,00</v>
      </c>
      <c r="F14" t="str">
        <v/>
      </c>
      <c r="G14" t="str">
        <v>R$ 0,00</v>
      </c>
      <c r="H14" t="str">
        <v/>
      </c>
      <c r="I14" t="str">
        <v>R$ 0,00</v>
      </c>
      <c r="J14" t="str">
        <v/>
      </c>
      <c r="K14" t="str">
        <v>R$ 0,00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>
        <v>981.036</v>
      </c>
      <c r="B15" t="str">
        <v/>
      </c>
      <c r="C15">
        <v>720.55</v>
      </c>
      <c r="D15" t="str">
        <v/>
      </c>
      <c r="E15" t="str">
        <v>R$ 0,00</v>
      </c>
      <c r="F15" t="str">
        <v/>
      </c>
      <c r="G15" t="str">
        <v>R$ 0,00</v>
      </c>
      <c r="H15" t="str">
        <v/>
      </c>
      <c r="I15" t="str">
        <v>R$ 0,00</v>
      </c>
      <c r="J15" t="str">
        <v/>
      </c>
      <c r="K15" t="str">
        <v>R$ 0,00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>
        <v>270</v>
      </c>
      <c r="B16" t="str">
        <v/>
      </c>
      <c r="C16">
        <v>246.18</v>
      </c>
      <c r="D16" t="str">
        <v/>
      </c>
      <c r="E16" t="str">
        <v>R$ 0,00</v>
      </c>
      <c r="F16" t="str">
        <v/>
      </c>
      <c r="G16" t="str">
        <v>R$ 0,00</v>
      </c>
      <c r="H16" t="str">
        <v/>
      </c>
      <c r="I16" t="str">
        <v>R$ 0,00</v>
      </c>
      <c r="J16" t="str">
        <v/>
      </c>
      <c r="K16" t="str">
        <v>R$ 0,00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>
        <v>562.212</v>
      </c>
      <c r="B17" t="str">
        <v/>
      </c>
      <c r="C17">
        <v>502.17</v>
      </c>
      <c r="D17" t="str">
        <v/>
      </c>
      <c r="E17" t="str">
        <v>R$ 0,00</v>
      </c>
      <c r="F17" t="str">
        <v/>
      </c>
      <c r="G17" t="str">
        <v>R$ 0,00</v>
      </c>
      <c r="H17" t="str">
        <v/>
      </c>
      <c r="I17" t="str">
        <v>R$ 0,00</v>
      </c>
      <c r="J17" t="str">
        <v/>
      </c>
      <c r="K17" t="str">
        <v>R$ 0,00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>
        <v>801.7212</v>
      </c>
      <c r="B18" t="str">
        <v/>
      </c>
      <c r="C18">
        <v>398.31</v>
      </c>
      <c r="D18" t="str">
        <v/>
      </c>
      <c r="E18" t="str">
        <v>R$ 0,00</v>
      </c>
      <c r="F18" t="str">
        <v/>
      </c>
      <c r="G18" t="str">
        <v>R$ 0,00</v>
      </c>
      <c r="H18" t="str">
        <v/>
      </c>
      <c r="I18" t="str">
        <v>R$ 0,00</v>
      </c>
      <c r="J18" t="str">
        <v/>
      </c>
      <c r="K18" t="str">
        <v>R$ 0,00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>
        <v>274.806</v>
      </c>
      <c r="B19" t="str">
        <v/>
      </c>
      <c r="C19">
        <v>360.7548</v>
      </c>
      <c r="D19" t="str">
        <v/>
      </c>
      <c r="E19" t="str">
        <v>R$ 0,00</v>
      </c>
      <c r="F19" t="str">
        <v/>
      </c>
      <c r="G19" t="str">
        <v>R$ 0,00</v>
      </c>
      <c r="H19" t="str">
        <v/>
      </c>
      <c r="I19" t="str">
        <v>R$ 0,00</v>
      </c>
      <c r="J19" t="str">
        <v/>
      </c>
      <c r="K19" t="str">
        <v>R$ 0,00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R$ 0,00</v>
      </c>
      <c r="B20" t="str">
        <v/>
      </c>
      <c r="C20">
        <v>494.7432</v>
      </c>
      <c r="D20" t="str">
        <v/>
      </c>
      <c r="E20" t="str">
        <v>R$ 0,00</v>
      </c>
      <c r="F20" t="str">
        <v/>
      </c>
      <c r="G20" t="str">
        <v>R$ 0,00</v>
      </c>
      <c r="H20" t="str">
        <v/>
      </c>
      <c r="I20" t="str">
        <v>R$ 0,00</v>
      </c>
      <c r="J20" t="str">
        <v/>
      </c>
      <c r="K20" t="str">
        <v>R$ 0,00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R$ 0,00</v>
      </c>
      <c r="B21" t="str">
        <v/>
      </c>
      <c r="C21">
        <v>265</v>
      </c>
      <c r="D21" t="str">
        <v/>
      </c>
      <c r="E21" t="str">
        <v>R$ 0,00</v>
      </c>
      <c r="F21" t="str">
        <v/>
      </c>
      <c r="G21" t="str">
        <v>R$ 0,00</v>
      </c>
      <c r="H21" t="str">
        <v/>
      </c>
      <c r="I21" t="str">
        <v>R$ 0,00</v>
      </c>
      <c r="J21" t="str">
        <v/>
      </c>
      <c r="K21" t="str">
        <v>R$ 0,00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R$ 0,00</v>
      </c>
      <c r="B22" t="str">
        <v/>
      </c>
      <c r="C22">
        <v>274.81</v>
      </c>
      <c r="D22" t="str">
        <v/>
      </c>
      <c r="E22" t="str">
        <v>R$ 0,00</v>
      </c>
      <c r="F22" t="str">
        <v/>
      </c>
      <c r="G22" t="str">
        <v>R$ 0,00</v>
      </c>
      <c r="H22" t="str">
        <v/>
      </c>
      <c r="I22" t="str">
        <v>R$ 0,00</v>
      </c>
      <c r="J22" t="str">
        <v/>
      </c>
      <c r="K22" t="str">
        <v>R$ 0,00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>
        <v>7779.5428</v>
      </c>
      <c r="B23" t="str">
        <v/>
      </c>
      <c r="C23">
        <v>7339.0306</v>
      </c>
      <c r="D23" t="str">
        <v/>
      </c>
      <c r="E23">
        <v>0</v>
      </c>
      <c r="F23" t="str">
        <v/>
      </c>
      <c r="G23">
        <v>0</v>
      </c>
      <c r="H23" t="str">
        <v/>
      </c>
      <c r="I23">
        <v>0</v>
      </c>
      <c r="J23" t="str">
        <v/>
      </c>
      <c r="K23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alugueasy</v>
      </c>
    </row>
  </sheetData>
  <ignoredErrors>
    <ignoredError numberStoredAsText="1" sqref="A1:Q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3"/>
  <sheetViews>
    <sheetView workbookViewId="0" rightToLeft="0"/>
  </sheetViews>
  <sheetData>
    <row r="1">
      <c r="A1" t="str">
        <v>FEV</v>
      </c>
    </row>
    <row r="2">
      <c r="A2">
        <v>218</v>
      </c>
      <c r="B2" t="str">
        <v/>
      </c>
      <c r="C2">
        <v>304</v>
      </c>
      <c r="D2" t="str">
        <v/>
      </c>
      <c r="E2">
        <v>404</v>
      </c>
      <c r="F2" t="str">
        <v/>
      </c>
      <c r="G2">
        <v>803</v>
      </c>
      <c r="H2" t="str">
        <v/>
      </c>
      <c r="I2">
        <v>916</v>
      </c>
      <c r="J2" t="str">
        <v/>
      </c>
      <c r="K2" t="str">
        <v>-</v>
      </c>
      <c r="L2" t="str">
        <v/>
      </c>
      <c r="M2" t="str">
        <v>-</v>
      </c>
      <c r="N2" t="str">
        <v/>
      </c>
      <c r="O2" t="str">
        <v>-</v>
      </c>
    </row>
    <row r="3">
      <c r="A3">
        <v>368.11</v>
      </c>
      <c r="B3" t="str">
        <v/>
      </c>
      <c r="C3">
        <v>359.128</v>
      </c>
      <c r="D3" t="str">
        <v/>
      </c>
      <c r="E3">
        <v>475.0704</v>
      </c>
      <c r="F3" t="str">
        <v/>
      </c>
      <c r="G3">
        <v>331.7685</v>
      </c>
      <c r="H3" t="str">
        <v/>
      </c>
      <c r="I3">
        <v>405</v>
      </c>
      <c r="J3" t="str">
        <v/>
      </c>
      <c r="K3" t="str">
        <v>R$ 0,00</v>
      </c>
      <c r="L3" t="str">
        <v/>
      </c>
      <c r="M3" t="str">
        <v>R$ 0,00</v>
      </c>
      <c r="N3" t="str">
        <v/>
      </c>
      <c r="O3" t="str">
        <v>R$ 0,00</v>
      </c>
    </row>
    <row r="4">
      <c r="A4">
        <v>1368</v>
      </c>
      <c r="B4" t="str">
        <v/>
      </c>
      <c r="C4">
        <v>1368</v>
      </c>
      <c r="D4" t="str">
        <v/>
      </c>
      <c r="E4">
        <v>1368</v>
      </c>
      <c r="F4" t="str">
        <v/>
      </c>
      <c r="G4">
        <v>1368</v>
      </c>
      <c r="H4" t="str">
        <v/>
      </c>
      <c r="I4">
        <v>1368</v>
      </c>
      <c r="J4" t="str">
        <v/>
      </c>
      <c r="K4" t="str">
        <v>R$ 0,00</v>
      </c>
      <c r="L4" t="str">
        <v/>
      </c>
      <c r="M4" t="str">
        <v>R$ 0,00</v>
      </c>
      <c r="N4" t="str">
        <v/>
      </c>
      <c r="O4" t="str">
        <v>R$ 0,00</v>
      </c>
    </row>
    <row r="5">
      <c r="A5">
        <v>202.86</v>
      </c>
      <c r="B5" t="str">
        <v/>
      </c>
      <c r="C5">
        <v>232.3776</v>
      </c>
      <c r="D5" t="str">
        <v/>
      </c>
      <c r="E5">
        <v>418.1016</v>
      </c>
      <c r="F5" t="str">
        <v/>
      </c>
      <c r="G5">
        <v>202.86</v>
      </c>
      <c r="H5" t="str">
        <v/>
      </c>
      <c r="I5">
        <v>185.5308</v>
      </c>
      <c r="J5" t="str">
        <v/>
      </c>
      <c r="K5" t="str">
        <v>R$ 0,00</v>
      </c>
      <c r="L5" t="str">
        <v/>
      </c>
      <c r="M5" t="str">
        <v>R$ 0,00</v>
      </c>
      <c r="N5" t="str">
        <v/>
      </c>
      <c r="O5" t="str">
        <v>R$ 0,00</v>
      </c>
    </row>
    <row r="6">
      <c r="A6">
        <v>202.02</v>
      </c>
      <c r="B6" t="str">
        <v/>
      </c>
      <c r="C6">
        <v>224.8848</v>
      </c>
      <c r="D6" t="str">
        <v/>
      </c>
      <c r="E6">
        <v>179.93</v>
      </c>
      <c r="F6" t="str">
        <v/>
      </c>
      <c r="G6">
        <v>605.6904</v>
      </c>
      <c r="H6" t="str">
        <v/>
      </c>
      <c r="I6">
        <v>210.8316</v>
      </c>
      <c r="J6" t="str">
        <v/>
      </c>
      <c r="K6" t="str">
        <v>R$ 0,00</v>
      </c>
      <c r="L6" t="str">
        <v/>
      </c>
      <c r="M6" t="str">
        <v>R$ 0,00</v>
      </c>
      <c r="N6" t="str">
        <v/>
      </c>
      <c r="O6" t="str">
        <v>R$ 0,00</v>
      </c>
    </row>
    <row r="7">
      <c r="A7">
        <v>890.1816</v>
      </c>
      <c r="B7" t="str">
        <v/>
      </c>
      <c r="C7">
        <v>182.574</v>
      </c>
      <c r="D7" t="str">
        <v/>
      </c>
      <c r="E7">
        <v>487.2588</v>
      </c>
      <c r="F7" t="str">
        <v/>
      </c>
      <c r="G7">
        <v>244.566</v>
      </c>
      <c r="H7" t="str">
        <v/>
      </c>
      <c r="I7">
        <v>899.0688</v>
      </c>
      <c r="J7" t="str">
        <v/>
      </c>
      <c r="K7" t="str">
        <v>R$ 0,00</v>
      </c>
      <c r="L7" t="str">
        <v/>
      </c>
      <c r="M7" t="str">
        <v>R$ 0,00</v>
      </c>
      <c r="N7" t="str">
        <v/>
      </c>
      <c r="O7" t="str">
        <v>R$ 0,00</v>
      </c>
    </row>
    <row r="8">
      <c r="A8">
        <v>225</v>
      </c>
      <c r="B8" t="str">
        <v/>
      </c>
      <c r="C8">
        <v>227.6988</v>
      </c>
      <c r="D8" t="str">
        <v/>
      </c>
      <c r="E8">
        <v>415.38</v>
      </c>
      <c r="F8" t="str">
        <v/>
      </c>
      <c r="G8">
        <v>212.52</v>
      </c>
      <c r="H8" t="str">
        <v/>
      </c>
      <c r="I8">
        <v>210.8316</v>
      </c>
      <c r="J8" t="str">
        <v/>
      </c>
      <c r="K8" t="str">
        <v>R$ 0,00</v>
      </c>
      <c r="L8" t="str">
        <v/>
      </c>
      <c r="M8" t="str">
        <v>R$ 0,00</v>
      </c>
      <c r="N8" t="str">
        <v/>
      </c>
      <c r="O8" t="str">
        <v>R$ 0,00</v>
      </c>
    </row>
    <row r="9">
      <c r="A9">
        <v>421.6632</v>
      </c>
      <c r="B9" t="str">
        <v/>
      </c>
      <c r="C9">
        <v>252.9996</v>
      </c>
      <c r="D9" t="str">
        <v/>
      </c>
      <c r="E9">
        <v>235.54</v>
      </c>
      <c r="F9" t="str">
        <v/>
      </c>
      <c r="G9">
        <v>183.54</v>
      </c>
      <c r="H9" t="str">
        <v/>
      </c>
      <c r="I9">
        <v>199.962</v>
      </c>
      <c r="J9" t="str">
        <v/>
      </c>
      <c r="K9" t="str">
        <v>R$ 0,00</v>
      </c>
      <c r="L9" t="str">
        <v/>
      </c>
      <c r="M9" t="str">
        <v>R$ 0,00</v>
      </c>
      <c r="N9" t="str">
        <v/>
      </c>
      <c r="O9" t="str">
        <v>R$ 0,00</v>
      </c>
    </row>
    <row r="10">
      <c r="A10">
        <v>202.86</v>
      </c>
      <c r="B10" t="str">
        <v/>
      </c>
      <c r="C10">
        <v>243.6252</v>
      </c>
      <c r="D10" t="str">
        <v/>
      </c>
      <c r="E10">
        <v>208.55</v>
      </c>
      <c r="F10" t="str">
        <v/>
      </c>
      <c r="G10">
        <v>217.56</v>
      </c>
      <c r="H10" t="str">
        <v/>
      </c>
      <c r="I10">
        <v>202.398</v>
      </c>
      <c r="J10" t="str">
        <v/>
      </c>
      <c r="K10" t="str">
        <v>R$ 0,00</v>
      </c>
      <c r="L10" t="str">
        <v/>
      </c>
      <c r="M10" t="str">
        <v>R$ 0,00</v>
      </c>
      <c r="N10" t="str">
        <v/>
      </c>
      <c r="O10" t="str">
        <v>R$ 0,00</v>
      </c>
    </row>
    <row r="11">
      <c r="A11">
        <v>174.54</v>
      </c>
      <c r="B11" t="str">
        <v/>
      </c>
      <c r="C11">
        <v>193.2</v>
      </c>
      <c r="D11" t="str">
        <v/>
      </c>
      <c r="E11">
        <v>202.86</v>
      </c>
      <c r="F11" t="str">
        <v/>
      </c>
      <c r="G11">
        <v>388.49</v>
      </c>
      <c r="H11" t="str">
        <v/>
      </c>
      <c r="I11">
        <v>206.1444</v>
      </c>
      <c r="J11" t="str">
        <v/>
      </c>
      <c r="K11" t="str">
        <v>R$ 0,00</v>
      </c>
      <c r="L11" t="str">
        <v/>
      </c>
      <c r="M11" t="str">
        <v>R$ 0,00</v>
      </c>
      <c r="N11" t="str">
        <v/>
      </c>
      <c r="O11" t="str">
        <v>R$ 0,00</v>
      </c>
    </row>
    <row r="12">
      <c r="A12">
        <v>173.88</v>
      </c>
      <c r="B12" t="str">
        <v/>
      </c>
      <c r="C12">
        <v>193.2</v>
      </c>
      <c r="D12" t="str">
        <v/>
      </c>
      <c r="E12">
        <v>170.11</v>
      </c>
      <c r="F12" t="str">
        <v/>
      </c>
      <c r="G12">
        <v>198.75</v>
      </c>
      <c r="H12" t="str">
        <v/>
      </c>
      <c r="I12">
        <v>177.0972</v>
      </c>
      <c r="J12" t="str">
        <v/>
      </c>
      <c r="K12" t="str">
        <v>R$ 0,00</v>
      </c>
      <c r="L12" t="str">
        <v/>
      </c>
      <c r="M12" t="str">
        <v>R$ 0,00</v>
      </c>
      <c r="N12" t="str">
        <v/>
      </c>
      <c r="O12" t="str">
        <v>R$ 0,00</v>
      </c>
    </row>
    <row r="13">
      <c r="A13">
        <v>198.75</v>
      </c>
      <c r="B13" t="str">
        <v/>
      </c>
      <c r="C13">
        <v>603.4392</v>
      </c>
      <c r="D13" t="str">
        <v/>
      </c>
      <c r="E13">
        <v>161.12</v>
      </c>
      <c r="F13" t="str">
        <v/>
      </c>
      <c r="G13">
        <v>168.6636</v>
      </c>
      <c r="H13" t="str">
        <v/>
      </c>
      <c r="I13">
        <v>345.7608</v>
      </c>
      <c r="J13" t="str">
        <v/>
      </c>
      <c r="K13" t="str">
        <v>R$ 0,00</v>
      </c>
      <c r="L13" t="str">
        <v/>
      </c>
      <c r="M13" t="str">
        <v>R$ 0,00</v>
      </c>
      <c r="N13" t="str">
        <v/>
      </c>
      <c r="O13" t="str">
        <v>R$ 0,00</v>
      </c>
    </row>
    <row r="14">
      <c r="A14">
        <v>202.3</v>
      </c>
      <c r="B14" t="str">
        <v/>
      </c>
      <c r="C14">
        <v>173.88</v>
      </c>
      <c r="D14" t="str">
        <v/>
      </c>
      <c r="E14">
        <v>212.52</v>
      </c>
      <c r="F14" t="str">
        <v/>
      </c>
      <c r="G14">
        <v>173.88</v>
      </c>
      <c r="H14" t="str">
        <v/>
      </c>
      <c r="I14">
        <v>177.0972</v>
      </c>
      <c r="J14" t="str">
        <v/>
      </c>
      <c r="K14" t="str">
        <v>R$ 0,00</v>
      </c>
      <c r="L14" t="str">
        <v/>
      </c>
      <c r="M14" t="str">
        <v>R$ 0,00</v>
      </c>
      <c r="N14" t="str">
        <v/>
      </c>
      <c r="O14" t="str">
        <v>R$ 0,00</v>
      </c>
    </row>
    <row r="15">
      <c r="A15">
        <v>183.54</v>
      </c>
      <c r="B15" t="str">
        <v/>
      </c>
      <c r="C15">
        <v>173.88</v>
      </c>
      <c r="D15" t="str">
        <v/>
      </c>
      <c r="E15">
        <v>159.2892</v>
      </c>
      <c r="F15" t="str">
        <v/>
      </c>
      <c r="G15">
        <v>208.55</v>
      </c>
      <c r="H15" t="str">
        <v/>
      </c>
      <c r="I15">
        <v>160.23</v>
      </c>
      <c r="J15" t="str">
        <v/>
      </c>
      <c r="K15" t="str">
        <v>R$ 0,00</v>
      </c>
      <c r="L15" t="str">
        <v/>
      </c>
      <c r="M15" t="str">
        <v>R$ 0,00</v>
      </c>
      <c r="N15" t="str">
        <v/>
      </c>
      <c r="O15" t="str">
        <v>R$ 0,00</v>
      </c>
    </row>
    <row r="16">
      <c r="A16">
        <v>357.42</v>
      </c>
      <c r="B16" t="str">
        <v/>
      </c>
      <c r="C16">
        <v>212.52</v>
      </c>
      <c r="D16" t="str">
        <v/>
      </c>
      <c r="E16">
        <v>443.2092</v>
      </c>
      <c r="F16" t="str">
        <v/>
      </c>
      <c r="G16">
        <v>161.12</v>
      </c>
      <c r="H16" t="str">
        <v/>
      </c>
      <c r="I16">
        <v>202.398</v>
      </c>
      <c r="J16" t="str">
        <v/>
      </c>
      <c r="K16" t="str">
        <v>R$ 0,00</v>
      </c>
      <c r="L16" t="str">
        <v/>
      </c>
      <c r="M16" t="str">
        <v>R$ 0,00</v>
      </c>
      <c r="N16" t="str">
        <v/>
      </c>
      <c r="O16" t="str">
        <v>R$ 0,00</v>
      </c>
    </row>
    <row r="17">
      <c r="A17">
        <v>550.62</v>
      </c>
      <c r="B17" t="str">
        <v/>
      </c>
      <c r="C17">
        <v>212.52</v>
      </c>
      <c r="D17" t="str">
        <v/>
      </c>
      <c r="E17">
        <v>449.7696</v>
      </c>
      <c r="F17" t="str">
        <v/>
      </c>
      <c r="G17">
        <v>518.0784</v>
      </c>
      <c r="H17" t="str">
        <v/>
      </c>
      <c r="I17">
        <v>177.0972</v>
      </c>
      <c r="J17" t="str">
        <v/>
      </c>
      <c r="K17" t="str">
        <v>R$ 0,00</v>
      </c>
      <c r="L17" t="str">
        <v/>
      </c>
      <c r="M17" t="str">
        <v>R$ 0,00</v>
      </c>
      <c r="N17" t="str">
        <v/>
      </c>
      <c r="O17" t="str">
        <v>R$ 0,00</v>
      </c>
    </row>
    <row r="18">
      <c r="A18">
        <v>1385.7396</v>
      </c>
      <c r="B18" t="str">
        <v/>
      </c>
      <c r="C18">
        <v>681.6852</v>
      </c>
      <c r="D18" t="str">
        <v/>
      </c>
      <c r="E18">
        <v>206.1444</v>
      </c>
      <c r="F18" t="str">
        <v/>
      </c>
      <c r="G18">
        <v>524.7312</v>
      </c>
      <c r="H18" t="str">
        <v/>
      </c>
      <c r="I18">
        <v>328.902</v>
      </c>
      <c r="J18" t="str">
        <v/>
      </c>
      <c r="K18" t="str">
        <v>R$ 0,00</v>
      </c>
      <c r="L18" t="str">
        <v/>
      </c>
      <c r="M18" t="str">
        <v>R$ 0,00</v>
      </c>
      <c r="N18" t="str">
        <v/>
      </c>
      <c r="O18" t="str">
        <v>R$ 0,00</v>
      </c>
    </row>
    <row r="19">
      <c r="A19" t="str">
        <v>R$ 0,00</v>
      </c>
      <c r="B19" t="str">
        <v/>
      </c>
      <c r="C19">
        <v>518.0784</v>
      </c>
      <c r="D19" t="str">
        <v/>
      </c>
      <c r="E19">
        <v>231.84</v>
      </c>
      <c r="F19" t="str">
        <v/>
      </c>
      <c r="G19">
        <v>827.8704</v>
      </c>
      <c r="H19" t="str">
        <v/>
      </c>
      <c r="I19">
        <v>794.4048</v>
      </c>
      <c r="J19" t="str">
        <v/>
      </c>
      <c r="K19" t="str">
        <v>R$ 0,00</v>
      </c>
      <c r="L19" t="str">
        <v/>
      </c>
      <c r="M19" t="str">
        <v>R$ 0,00</v>
      </c>
      <c r="N19" t="str">
        <v/>
      </c>
      <c r="O19" t="str">
        <v>R$ 0,00</v>
      </c>
    </row>
    <row r="20">
      <c r="A20" t="str">
        <v>R$ 0,00</v>
      </c>
      <c r="B20" t="str">
        <v/>
      </c>
      <c r="C20">
        <v>1344.168</v>
      </c>
      <c r="D20" t="str">
        <v/>
      </c>
      <c r="E20" t="str">
        <v>R$ 0,00</v>
      </c>
      <c r="F20" t="str">
        <v/>
      </c>
      <c r="G20" t="str">
        <v>R$ 0,00</v>
      </c>
      <c r="H20" t="str">
        <v/>
      </c>
      <c r="I20">
        <v>199.962</v>
      </c>
      <c r="J20" t="str">
        <v/>
      </c>
      <c r="K20" t="str">
        <v>R$ 0,00</v>
      </c>
      <c r="L20" t="str">
        <v/>
      </c>
      <c r="M20" t="str">
        <v>R$ 0,00</v>
      </c>
      <c r="N20" t="str">
        <v/>
      </c>
      <c r="O20" t="str">
        <v>R$ 0,00</v>
      </c>
    </row>
    <row r="21">
      <c r="A21" t="str">
        <v>R$ 0,00</v>
      </c>
      <c r="B21" t="str">
        <v/>
      </c>
      <c r="C21" t="str">
        <v>R$ 0,00</v>
      </c>
      <c r="D21" t="str">
        <v/>
      </c>
      <c r="E21" t="str">
        <v>R$ 0,00</v>
      </c>
      <c r="F21" t="str">
        <v/>
      </c>
      <c r="G21" t="str">
        <v>R$ 0,00</v>
      </c>
      <c r="H21" t="str">
        <v/>
      </c>
      <c r="I21">
        <v>193.9644</v>
      </c>
      <c r="J21" t="str">
        <v/>
      </c>
      <c r="K21" t="str">
        <v>R$ 0,00</v>
      </c>
      <c r="L21" t="str">
        <v/>
      </c>
      <c r="M21" t="str">
        <v>R$ 0,00</v>
      </c>
      <c r="N21" t="str">
        <v/>
      </c>
      <c r="O21" t="str">
        <v>R$ 0,00</v>
      </c>
    </row>
    <row r="22">
      <c r="A22" t="str">
        <v>R$ 0,00</v>
      </c>
      <c r="B22" t="str">
        <v/>
      </c>
      <c r="C22" t="str">
        <v>R$ 0,00</v>
      </c>
      <c r="D22" t="str">
        <v/>
      </c>
      <c r="E22" t="str">
        <v>R$ 0,00</v>
      </c>
      <c r="F22" t="str">
        <v/>
      </c>
      <c r="G22" t="str">
        <v>R$ 0,00</v>
      </c>
      <c r="H22" t="str">
        <v/>
      </c>
      <c r="I22">
        <v>243.432</v>
      </c>
      <c r="J22" t="str">
        <v/>
      </c>
      <c r="K22" t="str">
        <v>R$ 0,00</v>
      </c>
      <c r="L22" t="str">
        <v/>
      </c>
      <c r="M22" t="str">
        <v>R$ 0,00</v>
      </c>
      <c r="N22" t="str">
        <v/>
      </c>
      <c r="O22" t="str">
        <v>R$ 0,00</v>
      </c>
    </row>
    <row r="23">
      <c r="A23">
        <v>7107.4844</v>
      </c>
      <c r="B23" t="str">
        <v/>
      </c>
      <c r="C23">
        <v>7397.8588</v>
      </c>
      <c r="D23" t="str">
        <v/>
      </c>
      <c r="E23">
        <v>6024.6932</v>
      </c>
      <c r="F23" t="str">
        <v/>
      </c>
      <c r="G23">
        <v>6536.6385</v>
      </c>
      <c r="H23" t="str">
        <v/>
      </c>
      <c r="I23">
        <v>6888.1128</v>
      </c>
      <c r="J23" t="str">
        <v/>
      </c>
      <c r="K23">
        <v>0</v>
      </c>
      <c r="L23" t="str">
        <v/>
      </c>
      <c r="M23">
        <v>0</v>
      </c>
      <c r="N23" t="str">
        <v/>
      </c>
      <c r="O23">
        <v>0</v>
      </c>
    </row>
  </sheetData>
  <ignoredErrors>
    <ignoredError numberStoredAsText="1" sqref="A1:O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 rightToLeft="0"/>
  </sheetViews>
  <sheetData>
    <row r="1">
      <c r="A1" t="str">
        <v>FEV</v>
      </c>
    </row>
    <row r="2">
      <c r="A2">
        <v>270</v>
      </c>
      <c r="B2" t="str">
        <v/>
      </c>
      <c r="C2">
        <v>639.45</v>
      </c>
      <c r="D2" t="str">
        <v/>
      </c>
      <c r="E2">
        <v>178.5936</v>
      </c>
      <c r="F2" t="str">
        <v/>
      </c>
      <c r="G2">
        <v>409.2915</v>
      </c>
      <c r="H2" t="str">
        <v/>
      </c>
      <c r="I2">
        <v>190.095</v>
      </c>
      <c r="J2" t="str">
        <v/>
      </c>
      <c r="K2">
        <v>151.3</v>
      </c>
      <c r="L2" t="str">
        <v/>
      </c>
      <c r="M2">
        <v>368.86</v>
      </c>
      <c r="N2" t="str">
        <v/>
      </c>
      <c r="O2">
        <v>168.78</v>
      </c>
    </row>
    <row r="3">
      <c r="A3">
        <v>180</v>
      </c>
      <c r="B3" t="str">
        <v/>
      </c>
      <c r="C3">
        <v>130.5</v>
      </c>
      <c r="D3" t="str">
        <v/>
      </c>
      <c r="E3">
        <v>203.7975</v>
      </c>
      <c r="F3" t="str">
        <v/>
      </c>
      <c r="G3">
        <v>331.23</v>
      </c>
      <c r="H3" t="str">
        <v/>
      </c>
      <c r="I3">
        <v>125.712</v>
      </c>
      <c r="J3" t="str">
        <v/>
      </c>
      <c r="K3">
        <v>170.11</v>
      </c>
      <c r="L3" t="str">
        <v/>
      </c>
      <c r="M3">
        <v>151.3</v>
      </c>
      <c r="N3" t="str">
        <v/>
      </c>
      <c r="O3">
        <v>174.54</v>
      </c>
    </row>
    <row r="4">
      <c r="A4">
        <v>717.315</v>
      </c>
      <c r="B4" t="str">
        <v/>
      </c>
      <c r="C4">
        <v>169.4499</v>
      </c>
      <c r="D4" t="str">
        <v/>
      </c>
      <c r="E4">
        <v>227.36</v>
      </c>
      <c r="F4" t="str">
        <v/>
      </c>
      <c r="G4">
        <v>146.77</v>
      </c>
      <c r="H4" t="str">
        <v/>
      </c>
      <c r="I4">
        <v>141.426</v>
      </c>
      <c r="J4" t="str">
        <v/>
      </c>
      <c r="K4">
        <v>142.31</v>
      </c>
      <c r="L4" t="str">
        <v/>
      </c>
      <c r="M4">
        <v>161.12</v>
      </c>
      <c r="N4" t="str">
        <v/>
      </c>
      <c r="O4">
        <v>289.53</v>
      </c>
    </row>
    <row r="5">
      <c r="A5">
        <v>243</v>
      </c>
      <c r="B5" t="str">
        <v/>
      </c>
      <c r="C5">
        <v>222.26</v>
      </c>
      <c r="D5" t="str">
        <v/>
      </c>
      <c r="E5">
        <v>185.4927</v>
      </c>
      <c r="F5" t="str">
        <v/>
      </c>
      <c r="G5">
        <v>150.075</v>
      </c>
      <c r="H5" t="str">
        <v/>
      </c>
      <c r="I5">
        <v>170.11</v>
      </c>
      <c r="J5" t="str">
        <v/>
      </c>
      <c r="K5">
        <v>881.67</v>
      </c>
      <c r="L5" t="str">
        <v/>
      </c>
      <c r="M5">
        <v>151.3</v>
      </c>
      <c r="N5" t="str">
        <v/>
      </c>
      <c r="O5">
        <v>168.084</v>
      </c>
    </row>
    <row r="6">
      <c r="A6" t="str">
        <v>R$ 0,00</v>
      </c>
      <c r="B6" t="str">
        <v/>
      </c>
      <c r="C6">
        <v>182.2824</v>
      </c>
      <c r="D6" t="str">
        <v/>
      </c>
      <c r="E6">
        <v>151.902</v>
      </c>
      <c r="F6" t="str">
        <v/>
      </c>
      <c r="G6">
        <v>351.9933</v>
      </c>
      <c r="H6" t="str">
        <v/>
      </c>
      <c r="I6">
        <v>151.3</v>
      </c>
      <c r="J6" t="str">
        <v/>
      </c>
      <c r="K6">
        <v>189.74</v>
      </c>
      <c r="L6" t="str">
        <v/>
      </c>
      <c r="M6">
        <v>161.12</v>
      </c>
      <c r="N6" t="str">
        <v/>
      </c>
      <c r="O6">
        <v>138.04</v>
      </c>
    </row>
    <row r="7">
      <c r="A7" t="str">
        <v>R$ 0,00</v>
      </c>
      <c r="B7" t="str">
        <v/>
      </c>
      <c r="C7">
        <v>151.902</v>
      </c>
      <c r="D7" t="str">
        <v/>
      </c>
      <c r="E7">
        <v>160.08</v>
      </c>
      <c r="F7" t="str">
        <v/>
      </c>
      <c r="G7">
        <v>341.06</v>
      </c>
      <c r="H7" t="str">
        <v/>
      </c>
      <c r="I7">
        <v>142.31</v>
      </c>
      <c r="J7" t="str">
        <v/>
      </c>
      <c r="K7" t="str">
        <v>R$ 0,00</v>
      </c>
      <c r="L7" t="str">
        <v/>
      </c>
      <c r="M7">
        <v>1121.5692</v>
      </c>
      <c r="N7" t="str">
        <v/>
      </c>
      <c r="O7">
        <v>253.54</v>
      </c>
    </row>
    <row r="8">
      <c r="A8" t="str">
        <v>R$ 0,00</v>
      </c>
      <c r="B8" t="str">
        <v/>
      </c>
      <c r="C8">
        <v>190.095</v>
      </c>
      <c r="D8" t="str">
        <v/>
      </c>
      <c r="E8">
        <v>324.162</v>
      </c>
      <c r="F8" t="str">
        <v/>
      </c>
      <c r="G8">
        <v>170.085</v>
      </c>
      <c r="H8" t="str">
        <v/>
      </c>
      <c r="I8">
        <v>1389.9033</v>
      </c>
      <c r="J8" t="str">
        <v/>
      </c>
      <c r="K8" t="str">
        <v>R$ 0,00</v>
      </c>
      <c r="L8" t="str">
        <v/>
      </c>
      <c r="M8">
        <v>170.11</v>
      </c>
      <c r="N8" t="str">
        <v/>
      </c>
      <c r="O8">
        <v>1129.6341</v>
      </c>
    </row>
    <row r="9">
      <c r="A9" t="str">
        <v>R$ 0,00</v>
      </c>
      <c r="B9" t="str">
        <v/>
      </c>
      <c r="C9">
        <v>582.4128</v>
      </c>
      <c r="D9" t="str">
        <v/>
      </c>
      <c r="E9">
        <v>360.18</v>
      </c>
      <c r="F9" t="str">
        <v/>
      </c>
      <c r="G9">
        <v>184.04</v>
      </c>
      <c r="H9" t="str">
        <v/>
      </c>
      <c r="I9">
        <v>183.4221</v>
      </c>
      <c r="J9" t="str">
        <v/>
      </c>
      <c r="K9" t="str">
        <v>R$ 0,00</v>
      </c>
      <c r="L9" t="str">
        <v/>
      </c>
      <c r="M9">
        <v>189.74</v>
      </c>
      <c r="N9" t="str">
        <v/>
      </c>
      <c r="O9">
        <v>410.205</v>
      </c>
    </row>
    <row r="10">
      <c r="A10" t="str">
        <v>R$ 0,00</v>
      </c>
      <c r="B10" t="str">
        <v/>
      </c>
      <c r="C10">
        <v>135.0675</v>
      </c>
      <c r="D10" t="str">
        <v/>
      </c>
      <c r="E10">
        <v>200.1</v>
      </c>
      <c r="F10" t="str">
        <v/>
      </c>
      <c r="G10" t="str">
        <v>R$ 0,00</v>
      </c>
      <c r="H10" t="str">
        <v/>
      </c>
      <c r="I10" t="str">
        <v>R$ 0,00</v>
      </c>
      <c r="J10" t="str">
        <v/>
      </c>
      <c r="K10" t="str">
        <v>R$ 0,00</v>
      </c>
      <c r="L10" t="str">
        <v/>
      </c>
      <c r="M10" t="str">
        <v>R$ 0,00</v>
      </c>
      <c r="N10" t="str">
        <v/>
      </c>
      <c r="O10">
        <v>176.7927</v>
      </c>
    </row>
    <row r="11">
      <c r="A11" t="str">
        <v>R$ 0,00</v>
      </c>
      <c r="B11" t="str">
        <v/>
      </c>
      <c r="C11">
        <v>326.9721</v>
      </c>
      <c r="D11" t="str">
        <v/>
      </c>
      <c r="E11" t="str">
        <v>R$ 0,00</v>
      </c>
      <c r="F11" t="str">
        <v/>
      </c>
      <c r="G11" t="str">
        <v>R$ 0,00</v>
      </c>
      <c r="H11" t="str">
        <v/>
      </c>
      <c r="I11" t="str">
        <v>R$ 0,00</v>
      </c>
      <c r="J11" t="str">
        <v/>
      </c>
      <c r="K11" t="str">
        <v>R$ 0,00</v>
      </c>
      <c r="L11" t="str">
        <v/>
      </c>
      <c r="M11" t="str">
        <v>R$ 0,00</v>
      </c>
      <c r="N11" t="str">
        <v/>
      </c>
      <c r="O11" t="str">
        <v>R$ 0,00</v>
      </c>
    </row>
    <row r="12">
      <c r="A12" t="str">
        <v>R$ 0,00</v>
      </c>
      <c r="B12" t="str">
        <v/>
      </c>
      <c r="C12">
        <v>430.215</v>
      </c>
      <c r="D12" t="str">
        <v/>
      </c>
      <c r="E12" t="str">
        <v>R$ 0,00</v>
      </c>
      <c r="F12" t="str">
        <v/>
      </c>
      <c r="G12" t="str">
        <v>R$ 0,00</v>
      </c>
      <c r="H12" t="str">
        <v/>
      </c>
      <c r="I12" t="str">
        <v>R$ 0,00</v>
      </c>
      <c r="J12" t="str">
        <v/>
      </c>
      <c r="K12" t="str">
        <v>R$ 0,00</v>
      </c>
      <c r="L12" t="str">
        <v/>
      </c>
      <c r="M12" t="str">
        <v>R$ 0,00</v>
      </c>
      <c r="N12" t="str">
        <v/>
      </c>
      <c r="O12" t="str">
        <v>R$ 0,00</v>
      </c>
    </row>
    <row r="13">
      <c r="A13" t="str">
        <v>R$ 0,00</v>
      </c>
      <c r="B13" t="str">
        <v/>
      </c>
      <c r="C13">
        <v>360.18</v>
      </c>
      <c r="D13" t="str">
        <v/>
      </c>
      <c r="E13" t="str">
        <v>R$ 0,00</v>
      </c>
      <c r="F13" t="str">
        <v/>
      </c>
      <c r="G13" t="str">
        <v>R$ 0,00</v>
      </c>
      <c r="H13" t="str">
        <v/>
      </c>
      <c r="I13" t="str">
        <v>R$ 0,00</v>
      </c>
      <c r="J13" t="str">
        <v/>
      </c>
      <c r="K13" t="str">
        <v>R$ 0,00</v>
      </c>
      <c r="L13" t="str">
        <v/>
      </c>
      <c r="M13" t="str">
        <v>R$ 0,00</v>
      </c>
      <c r="N13" t="str">
        <v/>
      </c>
      <c r="O13" t="str">
        <v>R$ 0,00</v>
      </c>
    </row>
    <row r="14">
      <c r="A14" t="str">
        <v>R$ 0,00</v>
      </c>
      <c r="B14" t="str">
        <v/>
      </c>
      <c r="C14">
        <v>183.4221</v>
      </c>
      <c r="D14" t="str">
        <v/>
      </c>
      <c r="E14" t="str">
        <v>R$ 0,00</v>
      </c>
      <c r="F14" t="str">
        <v/>
      </c>
      <c r="G14" t="str">
        <v>R$ 0,00</v>
      </c>
      <c r="H14" t="str">
        <v/>
      </c>
      <c r="I14" t="str">
        <v>R$ 0,00</v>
      </c>
      <c r="J14" t="str">
        <v/>
      </c>
      <c r="K14" t="str">
        <v>R$ 0,00</v>
      </c>
      <c r="L14" t="str">
        <v/>
      </c>
      <c r="M14" t="str">
        <v>R$ 0,00</v>
      </c>
      <c r="N14" t="str">
        <v/>
      </c>
      <c r="O14" t="str">
        <v>R$ 0,00</v>
      </c>
    </row>
    <row r="15">
      <c r="A15" t="str">
        <v>R$ 0,00</v>
      </c>
      <c r="B15" t="str">
        <v/>
      </c>
      <c r="C15">
        <v>183.4221</v>
      </c>
      <c r="D15" t="str">
        <v/>
      </c>
      <c r="E15" t="str">
        <v>R$ 0,00</v>
      </c>
      <c r="F15" t="str">
        <v/>
      </c>
      <c r="G15" t="str">
        <v>R$ 0,00</v>
      </c>
      <c r="H15" t="str">
        <v/>
      </c>
      <c r="I15" t="str">
        <v>R$ 0,00</v>
      </c>
      <c r="J15" t="str">
        <v/>
      </c>
      <c r="K15" t="str">
        <v>R$ 0,00</v>
      </c>
      <c r="L15" t="str">
        <v/>
      </c>
      <c r="M15" t="str">
        <v>R$ 0,00</v>
      </c>
      <c r="N15" t="str">
        <v/>
      </c>
      <c r="O15" t="str">
        <v>R$ 0,00</v>
      </c>
    </row>
    <row r="16">
      <c r="A16" t="str">
        <v>R$ 0,00</v>
      </c>
      <c r="B16" t="str">
        <v/>
      </c>
      <c r="C16">
        <v>217.32</v>
      </c>
      <c r="D16" t="str">
        <v/>
      </c>
      <c r="E16" t="str">
        <v>R$ 0,00</v>
      </c>
      <c r="F16" t="str">
        <v/>
      </c>
      <c r="G16" t="str">
        <v>R$ 0,00</v>
      </c>
      <c r="H16" t="str">
        <v/>
      </c>
      <c r="I16" t="str">
        <v>R$ 0,00</v>
      </c>
      <c r="J16" t="str">
        <v/>
      </c>
      <c r="K16" t="str">
        <v>R$ 0,00</v>
      </c>
      <c r="L16" t="str">
        <v/>
      </c>
      <c r="M16" t="str">
        <v>R$ 0,00</v>
      </c>
      <c r="N16" t="str">
        <v/>
      </c>
      <c r="O16" t="str">
        <v>R$ 0,00</v>
      </c>
    </row>
    <row r="17">
      <c r="A17">
        <v>2355.86</v>
      </c>
      <c r="B17" t="str">
        <v/>
      </c>
      <c r="C17">
        <v>5711.2122</v>
      </c>
      <c r="D17" t="str">
        <v/>
      </c>
      <c r="E17">
        <v>3228.4975</v>
      </c>
      <c r="F17" t="str">
        <v/>
      </c>
      <c r="G17">
        <v>3632.4635</v>
      </c>
      <c r="H17" t="str">
        <v/>
      </c>
      <c r="I17">
        <v>3380.2366</v>
      </c>
      <c r="J17" t="str">
        <v/>
      </c>
      <c r="K17">
        <v>4089.5355</v>
      </c>
      <c r="L17" t="str">
        <v/>
      </c>
      <c r="M17">
        <v>4011.6387</v>
      </c>
      <c r="N17" t="str">
        <v/>
      </c>
      <c r="O17">
        <v>5318.5433</v>
      </c>
    </row>
  </sheetData>
  <ignoredErrors>
    <ignoredError numberStoredAsText="1" sqref="A1:O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00"/>
  <sheetViews>
    <sheetView workbookViewId="0" rightToLeft="0"/>
  </sheetViews>
  <sheetData>
    <row r="1">
      <c r="A1" t="str">
        <v>FEV</v>
      </c>
    </row>
    <row r="2">
      <c r="A2">
        <v>19</v>
      </c>
      <c r="C2">
        <v>803</v>
      </c>
      <c r="E2" t="str">
        <v>-</v>
      </c>
      <c r="G2" t="str">
        <v>-</v>
      </c>
      <c r="I2" t="str">
        <v>-</v>
      </c>
      <c r="K2" t="str">
        <v>-</v>
      </c>
    </row>
    <row r="3">
      <c r="A3">
        <f>(4500)/31*15</f>
        <v>2177.419355</v>
      </c>
      <c r="C3">
        <f>662.48</f>
        <v>662.48</v>
      </c>
      <c r="E3" t="str">
        <v>R$ 0,00</v>
      </c>
      <c r="G3" t="str">
        <v>R$ 0,00</v>
      </c>
      <c r="I3" t="str">
        <v>R$ 0,00</v>
      </c>
      <c r="K3" t="str">
        <v>R$ 0,00</v>
      </c>
    </row>
    <row r="4">
      <c r="A4">
        <f>(4500)/28*13</f>
        <v>2089.285714</v>
      </c>
      <c r="C4" t="str">
        <v>R$ 0,00</v>
      </c>
      <c r="E4" t="str">
        <v>R$ 0,00</v>
      </c>
      <c r="G4" t="str">
        <v>R$ 0,00</v>
      </c>
      <c r="I4" t="str">
        <v>R$ 0,00</v>
      </c>
      <c r="K4" t="str">
        <v>R$ 0,00</v>
      </c>
    </row>
    <row r="5">
      <c r="A5" t="str">
        <v>R$ 0,00</v>
      </c>
      <c r="C5" t="str">
        <v>R$ 0,00</v>
      </c>
      <c r="E5" t="str">
        <v>R$ 0,00</v>
      </c>
      <c r="G5" t="str">
        <v>R$ 0,00</v>
      </c>
      <c r="I5" t="str">
        <v>R$ 0,00</v>
      </c>
      <c r="K5" t="str">
        <v>R$ 0,00</v>
      </c>
    </row>
    <row r="6">
      <c r="A6" t="str">
        <v>R$ 0,00</v>
      </c>
      <c r="C6" t="str">
        <v>R$ 0,00</v>
      </c>
      <c r="E6" t="str">
        <v>R$ 0,00</v>
      </c>
      <c r="G6" t="str">
        <v>R$ 0,00</v>
      </c>
      <c r="I6" t="str">
        <v>R$ 0,00</v>
      </c>
      <c r="K6" t="str">
        <v>R$ 0,00</v>
      </c>
    </row>
    <row r="7">
      <c r="A7" t="str">
        <v>R$ 0,00</v>
      </c>
      <c r="C7" t="str">
        <v>R$ 0,00</v>
      </c>
      <c r="E7" t="str">
        <v>R$ 0,00</v>
      </c>
      <c r="G7" t="str">
        <v>R$ 0,00</v>
      </c>
      <c r="I7" t="str">
        <v>R$ 0,00</v>
      </c>
      <c r="K7" t="str">
        <v>R$ 0,00</v>
      </c>
    </row>
    <row r="8">
      <c r="A8" t="str">
        <v>R$ 0,00</v>
      </c>
      <c r="C8" t="str">
        <v>R$ 0,00</v>
      </c>
      <c r="E8" t="str">
        <v>R$ 0,00</v>
      </c>
      <c r="G8" t="str">
        <v>R$ 0,00</v>
      </c>
      <c r="I8" t="str">
        <v>R$ 0,00</v>
      </c>
      <c r="K8" t="str">
        <v>R$ 0,00</v>
      </c>
    </row>
    <row r="9">
      <c r="A9" t="str">
        <v>R$ 0,00</v>
      </c>
      <c r="C9" t="str">
        <v>R$ 0,00</v>
      </c>
      <c r="E9" t="str">
        <v>R$ 0,00</v>
      </c>
      <c r="G9" t="str">
        <v>R$ 0,00</v>
      </c>
      <c r="I9" t="str">
        <v>R$ 0,00</v>
      </c>
      <c r="K9" t="str">
        <v>R$ 0,00</v>
      </c>
    </row>
    <row r="10">
      <c r="A10" t="str">
        <v>R$ 0,00</v>
      </c>
      <c r="C10" t="str">
        <v>R$ 0,00</v>
      </c>
      <c r="E10" t="str">
        <v>R$ 0,00</v>
      </c>
      <c r="G10" t="str">
        <v>R$ 0,00</v>
      </c>
      <c r="I10" t="str">
        <v>R$ 0,00</v>
      </c>
      <c r="K10" t="str">
        <v>R$ 0,00</v>
      </c>
    </row>
    <row r="11">
      <c r="A11" t="str">
        <v>R$ 0,00</v>
      </c>
      <c r="C11" t="str">
        <v>R$ 0,00</v>
      </c>
      <c r="E11" t="str">
        <v>R$ 0,00</v>
      </c>
      <c r="G11" t="str">
        <v>R$ 0,00</v>
      </c>
      <c r="I11" t="str">
        <v>R$ 0,00</v>
      </c>
      <c r="K11" t="str">
        <v>R$ 0,00</v>
      </c>
    </row>
    <row r="12">
      <c r="A12" t="str">
        <v>R$ 0,00</v>
      </c>
      <c r="C12" t="str">
        <v>R$ 0,00</v>
      </c>
      <c r="E12" t="str">
        <v>R$ 0,00</v>
      </c>
      <c r="G12" t="str">
        <v>R$ 0,00</v>
      </c>
      <c r="I12" t="str">
        <v>R$ 0,00</v>
      </c>
      <c r="K12" t="str">
        <v>R$ 0,00</v>
      </c>
    </row>
    <row r="13">
      <c r="A13" t="str">
        <v>R$ 0,00</v>
      </c>
      <c r="C13" t="str">
        <v>R$ 0,00</v>
      </c>
      <c r="E13" t="str">
        <v>R$ 0,00</v>
      </c>
      <c r="G13" t="str">
        <v>R$ 0,00</v>
      </c>
      <c r="I13" t="str">
        <v>R$ 0,00</v>
      </c>
      <c r="K13" t="str">
        <v>R$ 0,00</v>
      </c>
    </row>
    <row r="14">
      <c r="A14" t="str">
        <v>R$ 0,00</v>
      </c>
      <c r="C14" t="str">
        <v>R$ 0,00</v>
      </c>
      <c r="E14" t="str">
        <v>R$ 0,00</v>
      </c>
      <c r="G14" t="str">
        <v>R$ 0,00</v>
      </c>
      <c r="I14" t="str">
        <v>R$ 0,00</v>
      </c>
      <c r="K14" t="str">
        <v>R$ 0,00</v>
      </c>
    </row>
    <row r="15">
      <c r="A15" t="str">
        <v>R$ 0,00</v>
      </c>
      <c r="C15" t="str">
        <v>R$ 0,00</v>
      </c>
      <c r="E15" t="str">
        <v>R$ 0,00</v>
      </c>
      <c r="G15" t="str">
        <v>R$ 0,00</v>
      </c>
      <c r="I15" t="str">
        <v>R$ 0,00</v>
      </c>
      <c r="K15" t="str">
        <v>R$ 0,00</v>
      </c>
    </row>
    <row r="16">
      <c r="A16" t="str">
        <v>R$ 0,00</v>
      </c>
      <c r="C16" t="str">
        <v>R$ 0,00</v>
      </c>
      <c r="E16" t="str">
        <v>R$ 0,00</v>
      </c>
      <c r="G16" t="str">
        <v>R$ 0,00</v>
      </c>
      <c r="I16" t="str">
        <v>R$ 0,00</v>
      </c>
      <c r="K16" t="str">
        <v>R$ 0,00</v>
      </c>
    </row>
    <row r="17">
      <c r="A17" t="str">
        <v>R$ 0,00</v>
      </c>
      <c r="C17" t="str">
        <v>R$ 0,00</v>
      </c>
      <c r="E17" t="str">
        <v>R$ 0,00</v>
      </c>
      <c r="G17" t="str">
        <v>R$ 0,00</v>
      </c>
      <c r="I17" t="str">
        <v>R$ 0,00</v>
      </c>
      <c r="K17" t="str">
        <v>R$ 0,00</v>
      </c>
    </row>
    <row r="18">
      <c r="A18" t="str">
        <v>R$ 0,00</v>
      </c>
      <c r="C18" t="str">
        <v>R$ 0,00</v>
      </c>
      <c r="E18" t="str">
        <v>R$ 0,00</v>
      </c>
      <c r="G18" t="str">
        <v>R$ 0,00</v>
      </c>
      <c r="I18" t="str">
        <v>R$ 0,00</v>
      </c>
      <c r="K18" t="str">
        <v>R$ 0,00</v>
      </c>
    </row>
    <row r="19">
      <c r="A19" t="str">
        <v>R$ 0,00</v>
      </c>
      <c r="C19" t="str">
        <v>R$ 0,00</v>
      </c>
      <c r="E19" t="str">
        <v>R$ 0,00</v>
      </c>
      <c r="G19" t="str">
        <v>R$ 0,00</v>
      </c>
      <c r="I19" t="str">
        <v>R$ 0,00</v>
      </c>
      <c r="K19" t="str">
        <v>R$ 0,00</v>
      </c>
    </row>
    <row r="20">
      <c r="A20" t="str">
        <v>R$ 0,00</v>
      </c>
      <c r="C20" t="str">
        <v>R$ 0,00</v>
      </c>
      <c r="E20" t="str">
        <v>R$ 0,00</v>
      </c>
      <c r="G20" t="str">
        <v>R$ 0,00</v>
      </c>
      <c r="I20" t="str">
        <v>R$ 0,00</v>
      </c>
      <c r="K20" t="str">
        <v>R$ 0,00</v>
      </c>
      <c r="M20" t="str">
        <v>booking</v>
      </c>
    </row>
    <row r="21">
      <c r="A21" t="str">
        <v>R$ 0,00</v>
      </c>
      <c r="C21" t="str">
        <v>R$ 0,00</v>
      </c>
      <c r="E21" t="str">
        <v>R$ 0,00</v>
      </c>
      <c r="G21" t="str">
        <v>R$ 0,00</v>
      </c>
      <c r="I21" t="str">
        <v>R$ 0,00</v>
      </c>
      <c r="K21" t="str">
        <v>R$ 0,00</v>
      </c>
      <c r="M21" t="str">
        <v>airbnb</v>
      </c>
    </row>
    <row r="22">
      <c r="A22" t="str">
        <v>R$ 0,00</v>
      </c>
      <c r="C22" t="str">
        <v>R$ 0,00</v>
      </c>
      <c r="E22" t="str">
        <v>R$ 0,00</v>
      </c>
      <c r="G22" t="str">
        <v>R$ 0,00</v>
      </c>
      <c r="I22" t="str">
        <v>R$ 0,00</v>
      </c>
      <c r="K22" t="str">
        <v>R$ 0,00</v>
      </c>
      <c r="M22" t="str">
        <v>alugueasy</v>
      </c>
    </row>
    <row r="23">
      <c r="A23" t="str">
        <v>R$ 0,00</v>
      </c>
      <c r="C23" t="str">
        <v>R$ 0,00</v>
      </c>
      <c r="E23" t="str">
        <v>R$ 0,00</v>
      </c>
      <c r="G23" t="str">
        <v>R$ 0,00</v>
      </c>
      <c r="I23" t="str">
        <v>R$ 0,00</v>
      </c>
      <c r="K23" t="str">
        <v>R$ 0,00</v>
      </c>
    </row>
    <row r="24">
      <c r="A24" t="str">
        <v>R$ 0,00</v>
      </c>
      <c r="C24" t="str">
        <v>R$ 0,00</v>
      </c>
      <c r="E24" t="str">
        <v>R$ 0,00</v>
      </c>
      <c r="G24" t="str">
        <v>R$ 0,00</v>
      </c>
      <c r="I24" t="str">
        <v>R$ 0,00</v>
      </c>
      <c r="K24" t="str">
        <v>R$ 0,00</v>
      </c>
    </row>
    <row r="25">
      <c r="A25" t="str">
        <v>R$ 0,00</v>
      </c>
      <c r="C25" t="str">
        <v>R$ 0,00</v>
      </c>
      <c r="E25" t="str">
        <v>R$ 0,00</v>
      </c>
      <c r="G25" t="str">
        <v>R$ 0,00</v>
      </c>
      <c r="I25" t="str">
        <v>R$ 0,00</v>
      </c>
      <c r="K25" t="str">
        <v>R$ 0,00</v>
      </c>
    </row>
    <row r="26">
      <c r="A26" t="str">
        <v>R$ 0,00</v>
      </c>
      <c r="C26" t="str">
        <v>R$ 0,00</v>
      </c>
      <c r="E26" t="str">
        <v>R$ 0,00</v>
      </c>
      <c r="G26" t="str">
        <v>R$ 0,00</v>
      </c>
      <c r="I26" t="str">
        <v>R$ 0,00</v>
      </c>
      <c r="K26" t="str">
        <v>R$ 0,00</v>
      </c>
    </row>
    <row r="27">
      <c r="A27" t="str">
        <v>R$ 0,00</v>
      </c>
      <c r="C27" t="str">
        <v>R$ 0,00</v>
      </c>
      <c r="E27" t="str">
        <v>R$ 0,00</v>
      </c>
      <c r="G27" t="str">
        <v>R$ 0,00</v>
      </c>
      <c r="I27" t="str">
        <v>R$ 0,00</v>
      </c>
      <c r="K27" t="str">
        <v>R$ 0,00</v>
      </c>
    </row>
    <row r="28">
      <c r="A28" t="str">
        <v>R$ 0,00</v>
      </c>
      <c r="C28" t="str">
        <v>R$ 0,00</v>
      </c>
      <c r="E28" t="str">
        <v>R$ 0,00</v>
      </c>
      <c r="G28" t="str">
        <v>R$ 0,00</v>
      </c>
      <c r="I28" t="str">
        <v>R$ 0,00</v>
      </c>
      <c r="K28" t="str">
        <v>R$ 0,00</v>
      </c>
    </row>
    <row r="29">
      <c r="A29" t="str">
        <v>R$ 0,00</v>
      </c>
      <c r="C29" t="str">
        <v>R$ 0,00</v>
      </c>
      <c r="E29" t="str">
        <v>R$ 0,00</v>
      </c>
      <c r="G29" t="str">
        <v>R$ 0,00</v>
      </c>
      <c r="I29" t="str">
        <v>R$ 0,00</v>
      </c>
      <c r="K29" t="str">
        <v>R$ 0,00</v>
      </c>
    </row>
    <row r="30">
      <c r="A30">
        <f>SUM(A3:A29)</f>
        <v>4266.705069</v>
      </c>
      <c r="C30">
        <f>SUM(C3:C29)</f>
        <v>662.48</v>
      </c>
      <c r="E30">
        <f>SUM(E3:E29)</f>
        <v>0</v>
      </c>
      <c r="G30">
        <f>SUM(G3:G29)</f>
        <v>0</v>
      </c>
      <c r="I30">
        <f>SUM(I3:I29)</f>
        <v>0</v>
      </c>
      <c r="K30">
        <f>SUM(K3:K29)</f>
        <v>0</v>
      </c>
    </row>
    <row r="31">
      <c r="A31" t="str">
        <v>TOTAL</v>
      </c>
      <c r="B31">
        <f>A30+C30+E30+G30+I30+K30</f>
        <v>4929.185069</v>
      </c>
    </row>
    <row r="32">
      <c r="A32">
        <f>(A30-4214.42)</f>
        <v>52.28506912</v>
      </c>
      <c r="C32">
        <f>(C30-2914.92)</f>
        <v>-2252.44</v>
      </c>
      <c r="E32">
        <f>(E30-0)</f>
        <v>0</v>
      </c>
      <c r="G32">
        <f>(G30-0)</f>
        <v>0</v>
      </c>
      <c r="I32">
        <f>(I30-0)</f>
        <v>0</v>
      </c>
      <c r="K32">
        <f>(K30-0)</f>
        <v>0</v>
      </c>
    </row>
    <row r="34">
      <c r="C34" t="str">
        <v>FAT</v>
      </c>
      <c r="D34">
        <f>B31</f>
        <v>4929.185069</v>
      </c>
      <c r="E34">
        <v>4929.1850691244235</v>
      </c>
    </row>
    <row r="35">
      <c r="C35" t="str">
        <v>LUC</v>
      </c>
      <c r="D35">
        <f>A32+C32+E32+G32+I32+K32</f>
        <v>-2200.154931</v>
      </c>
      <c r="E35">
        <v>-2200.154930875576</v>
      </c>
    </row>
  </sheetData>
  <mergeCells count="2">
    <mergeCell ref="A1:K1"/>
    <mergeCell ref="B31:K31"/>
  </mergeCells>
  <ignoredErrors>
    <ignoredError numberStoredAsText="1" sqref="A1:M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0"/>
  </sheetViews>
  <sheetData>
    <row r="1">
      <c r="A1" t="str">
        <v>FEV</v>
      </c>
    </row>
    <row r="2">
      <c r="A2">
        <v>220</v>
      </c>
      <c r="B2" t="str">
        <v/>
      </c>
      <c r="C2" t="str">
        <v>-</v>
      </c>
      <c r="D2" t="str">
        <v/>
      </c>
      <c r="E2" t="str">
        <v>-</v>
      </c>
      <c r="F2" t="str">
        <v/>
      </c>
      <c r="G2" t="str">
        <v>-</v>
      </c>
      <c r="H2" t="str">
        <v/>
      </c>
      <c r="I2" t="str">
        <v>-</v>
      </c>
      <c r="J2" t="str">
        <v/>
      </c>
      <c r="K2" t="str">
        <v>-</v>
      </c>
      <c r="L2" t="str">
        <v/>
      </c>
      <c r="M2" t="str">
        <v/>
      </c>
    </row>
    <row r="3">
      <c r="A3">
        <v>184.3878</v>
      </c>
      <c r="B3" t="str">
        <v/>
      </c>
      <c r="C3" t="str">
        <v>R$ 0,00</v>
      </c>
      <c r="D3" t="str">
        <v/>
      </c>
      <c r="E3" t="str">
        <v>R$ 0,00</v>
      </c>
      <c r="F3" t="str">
        <v/>
      </c>
      <c r="G3" t="str">
        <v>R$ 0,00</v>
      </c>
      <c r="H3" t="str">
        <v/>
      </c>
      <c r="I3" t="str">
        <v>R$ 0,00</v>
      </c>
      <c r="J3" t="str">
        <v/>
      </c>
      <c r="K3" t="str">
        <v>R$ 0,00</v>
      </c>
      <c r="L3" t="str">
        <v/>
      </c>
      <c r="M3" t="str">
        <v/>
      </c>
    </row>
    <row r="4">
      <c r="A4">
        <v>151.3</v>
      </c>
      <c r="B4" t="str">
        <v/>
      </c>
      <c r="C4" t="str">
        <v>R$ 0,00</v>
      </c>
      <c r="D4" t="str">
        <v/>
      </c>
      <c r="E4" t="str">
        <v>R$ 0,00</v>
      </c>
      <c r="F4" t="str">
        <v/>
      </c>
      <c r="G4" t="str">
        <v>R$ 0,00</v>
      </c>
      <c r="H4" t="str">
        <v/>
      </c>
      <c r="I4" t="str">
        <v>R$ 0,00</v>
      </c>
      <c r="J4" t="str">
        <v/>
      </c>
      <c r="K4" t="str">
        <v>R$ 0,00</v>
      </c>
      <c r="L4" t="str">
        <v/>
      </c>
      <c r="M4" t="str">
        <v/>
      </c>
    </row>
    <row r="5">
      <c r="A5">
        <v>227.36</v>
      </c>
      <c r="B5" t="str">
        <v/>
      </c>
      <c r="C5" t="str">
        <v>R$ 0,00</v>
      </c>
      <c r="D5" t="str">
        <v/>
      </c>
      <c r="E5" t="str">
        <v>R$ 0,00</v>
      </c>
      <c r="F5" t="str">
        <v/>
      </c>
      <c r="G5" t="str">
        <v>R$ 0,00</v>
      </c>
      <c r="H5" t="str">
        <v/>
      </c>
      <c r="I5" t="str">
        <v>R$ 0,00</v>
      </c>
      <c r="J5" t="str">
        <v/>
      </c>
      <c r="K5" t="str">
        <v>R$ 0,00</v>
      </c>
      <c r="L5" t="str">
        <v/>
      </c>
      <c r="M5" t="str">
        <v/>
      </c>
    </row>
    <row r="6">
      <c r="A6">
        <v>155.2776</v>
      </c>
      <c r="B6" t="str">
        <v/>
      </c>
      <c r="C6" t="str">
        <v>R$ 0,00</v>
      </c>
      <c r="D6" t="str">
        <v/>
      </c>
      <c r="E6" t="str">
        <v>R$ 0,00</v>
      </c>
      <c r="F6" t="str">
        <v/>
      </c>
      <c r="G6" t="str">
        <v>R$ 0,00</v>
      </c>
      <c r="H6" t="str">
        <v/>
      </c>
      <c r="I6" t="str">
        <v>R$ 0,00</v>
      </c>
      <c r="J6" t="str">
        <v/>
      </c>
      <c r="K6" t="str">
        <v>R$ 0,00</v>
      </c>
      <c r="L6" t="str">
        <v/>
      </c>
      <c r="M6" t="str">
        <v/>
      </c>
    </row>
    <row r="7">
      <c r="A7">
        <v>142.31</v>
      </c>
      <c r="B7" t="str">
        <v/>
      </c>
      <c r="C7" t="str">
        <v>R$ 0,00</v>
      </c>
      <c r="D7" t="str">
        <v/>
      </c>
      <c r="E7" t="str">
        <v>R$ 0,00</v>
      </c>
      <c r="F7" t="str">
        <v/>
      </c>
      <c r="G7" t="str">
        <v>R$ 0,00</v>
      </c>
      <c r="H7" t="str">
        <v/>
      </c>
      <c r="I7" t="str">
        <v>R$ 0,00</v>
      </c>
      <c r="J7" t="str">
        <v/>
      </c>
      <c r="K7" t="str">
        <v>R$ 0,00</v>
      </c>
      <c r="L7" t="str">
        <v/>
      </c>
      <c r="M7" t="str">
        <v/>
      </c>
    </row>
    <row r="8">
      <c r="A8">
        <v>161.12</v>
      </c>
      <c r="B8" t="str">
        <v/>
      </c>
      <c r="C8" t="str">
        <v>R$ 0,00</v>
      </c>
      <c r="D8" t="str">
        <v/>
      </c>
      <c r="E8" t="str">
        <v>R$ 0,00</v>
      </c>
      <c r="F8" t="str">
        <v/>
      </c>
      <c r="G8" t="str">
        <v>R$ 0,00</v>
      </c>
      <c r="H8" t="str">
        <v/>
      </c>
      <c r="I8" t="str">
        <v>R$ 0,00</v>
      </c>
      <c r="J8" t="str">
        <v/>
      </c>
      <c r="K8" t="str">
        <v>R$ 0,00</v>
      </c>
      <c r="L8" t="str">
        <v/>
      </c>
      <c r="M8" t="str">
        <v/>
      </c>
    </row>
    <row r="9">
      <c r="A9">
        <v>312.243</v>
      </c>
      <c r="B9" t="str">
        <v/>
      </c>
      <c r="C9" t="str">
        <v>R$ 0,00</v>
      </c>
      <c r="D9" t="str">
        <v/>
      </c>
      <c r="E9" t="str">
        <v>R$ 0,00</v>
      </c>
      <c r="F9" t="str">
        <v/>
      </c>
      <c r="G9" t="str">
        <v>R$ 0,00</v>
      </c>
      <c r="H9" t="str">
        <v/>
      </c>
      <c r="I9" t="str">
        <v>R$ 0,00</v>
      </c>
      <c r="J9" t="str">
        <v/>
      </c>
      <c r="K9" t="str">
        <v>R$ 0,00</v>
      </c>
      <c r="L9" t="str">
        <v/>
      </c>
      <c r="M9" t="str">
        <v/>
      </c>
    </row>
    <row r="10">
      <c r="A10">
        <v>170.085</v>
      </c>
      <c r="B10" t="str">
        <v/>
      </c>
      <c r="C10" t="str">
        <v>R$ 0,00</v>
      </c>
      <c r="D10" t="str">
        <v/>
      </c>
      <c r="E10" t="str">
        <v>R$ 0,00</v>
      </c>
      <c r="F10" t="str">
        <v/>
      </c>
      <c r="G10" t="str">
        <v>R$ 0,00</v>
      </c>
      <c r="H10" t="str">
        <v/>
      </c>
      <c r="I10" t="str">
        <v>R$ 0,00</v>
      </c>
      <c r="J10" t="str">
        <v/>
      </c>
      <c r="K10" t="str">
        <v>R$ 0,00</v>
      </c>
      <c r="L10" t="str">
        <v/>
      </c>
      <c r="M10" t="str">
        <v/>
      </c>
    </row>
    <row r="11">
      <c r="A11">
        <v>140.07</v>
      </c>
      <c r="B11" t="str">
        <v/>
      </c>
      <c r="C11" t="str">
        <v>R$ 0,00</v>
      </c>
      <c r="D11" t="str">
        <v/>
      </c>
      <c r="E11" t="str">
        <v>R$ 0,00</v>
      </c>
      <c r="F11" t="str">
        <v/>
      </c>
      <c r="G11" t="str">
        <v>R$ 0,00</v>
      </c>
      <c r="H11" t="str">
        <v/>
      </c>
      <c r="I11" t="str">
        <v>R$ 0,00</v>
      </c>
      <c r="J11" t="str">
        <v/>
      </c>
      <c r="K11" t="str">
        <v>R$ 0,00</v>
      </c>
      <c r="L11" t="str">
        <v/>
      </c>
      <c r="M11" t="str">
        <v/>
      </c>
    </row>
    <row r="12">
      <c r="A12">
        <v>1329.5688</v>
      </c>
      <c r="B12" t="str">
        <v/>
      </c>
      <c r="C12" t="str">
        <v>R$ 0,00</v>
      </c>
      <c r="D12" t="str">
        <v/>
      </c>
      <c r="E12" t="str">
        <v>R$ 0,00</v>
      </c>
      <c r="F12" t="str">
        <v/>
      </c>
      <c r="G12" t="str">
        <v>R$ 0,00</v>
      </c>
      <c r="H12" t="str">
        <v/>
      </c>
      <c r="I12" t="str">
        <v>R$ 0,00</v>
      </c>
      <c r="J12" t="str">
        <v/>
      </c>
      <c r="K12" t="str">
        <v>R$ 0,00</v>
      </c>
      <c r="L12" t="str">
        <v/>
      </c>
      <c r="M12" t="str">
        <v/>
      </c>
    </row>
    <row r="13">
      <c r="A13">
        <v>151.3</v>
      </c>
      <c r="B13" t="str">
        <v/>
      </c>
      <c r="C13" t="str">
        <v>R$ 0,00</v>
      </c>
      <c r="D13" t="str">
        <v/>
      </c>
      <c r="E13" t="str">
        <v>R$ 0,00</v>
      </c>
      <c r="F13" t="str">
        <v/>
      </c>
      <c r="G13" t="str">
        <v>R$ 0,00</v>
      </c>
      <c r="H13" t="str">
        <v/>
      </c>
      <c r="I13" t="str">
        <v>R$ 0,00</v>
      </c>
      <c r="J13" t="str">
        <v/>
      </c>
      <c r="K13" t="str">
        <v>R$ 0,00</v>
      </c>
      <c r="L13" t="str">
        <v/>
      </c>
      <c r="M13" t="str">
        <v/>
      </c>
    </row>
    <row r="14">
      <c r="A14">
        <v>190.095</v>
      </c>
      <c r="B14" t="str">
        <v/>
      </c>
      <c r="C14" t="str">
        <v>R$ 0,00</v>
      </c>
      <c r="D14" t="str">
        <v/>
      </c>
      <c r="E14" t="str">
        <v>R$ 0,00</v>
      </c>
      <c r="F14" t="str">
        <v/>
      </c>
      <c r="G14" t="str">
        <v>R$ 0,00</v>
      </c>
      <c r="H14" t="str">
        <v/>
      </c>
      <c r="I14" t="str">
        <v>R$ 0,00</v>
      </c>
      <c r="J14" t="str">
        <v/>
      </c>
      <c r="K14" t="str">
        <v>R$ 0,00</v>
      </c>
      <c r="L14" t="str">
        <v/>
      </c>
      <c r="M14" t="str">
        <v/>
      </c>
    </row>
    <row r="15">
      <c r="A15">
        <v>3315.1172</v>
      </c>
      <c r="B15" t="str">
        <v/>
      </c>
      <c r="C15">
        <v>0</v>
      </c>
      <c r="D15" t="str">
        <v/>
      </c>
      <c r="E15">
        <v>0</v>
      </c>
      <c r="F15" t="str">
        <v/>
      </c>
      <c r="G15">
        <v>0</v>
      </c>
      <c r="H15" t="str">
        <v/>
      </c>
      <c r="I15">
        <v>0</v>
      </c>
      <c r="J15" t="str">
        <v/>
      </c>
      <c r="K15">
        <v>0</v>
      </c>
      <c r="L15" t="str">
        <v/>
      </c>
      <c r="M15" t="str">
        <v/>
      </c>
    </row>
  </sheetData>
  <ignoredErrors>
    <ignoredError numberStoredAsText="1" sqref="A1:M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FEV</v>
      </c>
    </row>
    <row r="2">
      <c r="A2">
        <v>412</v>
      </c>
      <c r="B2" t="str">
        <v/>
      </c>
      <c r="C2">
        <v>1709</v>
      </c>
      <c r="D2" t="str">
        <v/>
      </c>
      <c r="E2" t="str">
        <v>-</v>
      </c>
      <c r="F2" t="str">
        <v/>
      </c>
      <c r="G2" t="str">
        <v>-</v>
      </c>
      <c r="H2" t="str">
        <v/>
      </c>
      <c r="I2" t="str">
        <v>-</v>
      </c>
      <c r="J2" t="str">
        <v/>
      </c>
      <c r="K2" t="str">
        <v>-</v>
      </c>
      <c r="L2" t="str">
        <v/>
      </c>
      <c r="M2" t="str">
        <v/>
      </c>
    </row>
    <row r="3">
      <c r="A3">
        <v>232.9164</v>
      </c>
      <c r="B3" t="str">
        <v/>
      </c>
      <c r="C3">
        <v>1318.42</v>
      </c>
      <c r="D3" t="str">
        <v/>
      </c>
      <c r="E3" t="str">
        <v>R$ 0,00</v>
      </c>
      <c r="F3" t="str">
        <v/>
      </c>
      <c r="G3" t="str">
        <v>R$ 0,00</v>
      </c>
      <c r="H3" t="str">
        <v/>
      </c>
      <c r="I3" t="str">
        <v>R$ 0,00</v>
      </c>
      <c r="J3" t="str">
        <v/>
      </c>
      <c r="K3" t="str">
        <v>R$ 0,00</v>
      </c>
      <c r="L3" t="str">
        <v/>
      </c>
      <c r="M3" t="str">
        <v/>
      </c>
    </row>
    <row r="4">
      <c r="A4">
        <v>2131.8219</v>
      </c>
      <c r="B4" t="str">
        <v/>
      </c>
      <c r="C4">
        <v>359.86</v>
      </c>
      <c r="D4" t="str">
        <v/>
      </c>
      <c r="E4" t="str">
        <v>R$ 0,00</v>
      </c>
      <c r="F4" t="str">
        <v/>
      </c>
      <c r="G4" t="str">
        <v>R$ 0,00</v>
      </c>
      <c r="H4" t="str">
        <v/>
      </c>
      <c r="I4" t="str">
        <v>R$ 0,00</v>
      </c>
      <c r="J4" t="str">
        <v/>
      </c>
      <c r="K4" t="str">
        <v>R$ 0,00</v>
      </c>
      <c r="L4" t="str">
        <v/>
      </c>
      <c r="M4" t="str">
        <v/>
      </c>
    </row>
    <row r="5">
      <c r="A5">
        <v>200.1</v>
      </c>
      <c r="B5" t="str">
        <v/>
      </c>
      <c r="C5" t="str">
        <v>R$ 0,00</v>
      </c>
      <c r="D5" t="str">
        <v/>
      </c>
      <c r="E5" t="str">
        <v>R$ 0,00</v>
      </c>
      <c r="F5" t="str">
        <v/>
      </c>
      <c r="G5" t="str">
        <v>R$ 0,00</v>
      </c>
      <c r="H5" t="str">
        <v/>
      </c>
      <c r="I5" t="str">
        <v>R$ 0,00</v>
      </c>
      <c r="J5" t="str">
        <v/>
      </c>
      <c r="K5" t="str">
        <v>R$ 0,00</v>
      </c>
      <c r="L5" t="str">
        <v/>
      </c>
      <c r="M5" t="str">
        <v/>
      </c>
    </row>
    <row r="6">
      <c r="A6">
        <v>170.085</v>
      </c>
      <c r="B6" t="str">
        <v/>
      </c>
      <c r="C6" t="str">
        <v>R$ 0,00</v>
      </c>
      <c r="D6" t="str">
        <v/>
      </c>
      <c r="E6" t="str">
        <v>R$ 0,00</v>
      </c>
      <c r="F6" t="str">
        <v/>
      </c>
      <c r="G6" t="str">
        <v>R$ 0,00</v>
      </c>
      <c r="H6" t="str">
        <v/>
      </c>
      <c r="I6" t="str">
        <v>R$ 0,00</v>
      </c>
      <c r="J6" t="str">
        <v/>
      </c>
      <c r="K6" t="str">
        <v>R$ 0,00</v>
      </c>
      <c r="L6" t="str">
        <v/>
      </c>
      <c r="M6" t="str">
        <v/>
      </c>
    </row>
    <row r="7">
      <c r="A7">
        <v>150.075</v>
      </c>
      <c r="B7" t="str">
        <v/>
      </c>
      <c r="C7" t="str">
        <v>R$ 0,00</v>
      </c>
      <c r="D7" t="str">
        <v/>
      </c>
      <c r="E7" t="str">
        <v>R$ 0,00</v>
      </c>
      <c r="F7" t="str">
        <v/>
      </c>
      <c r="G7" t="str">
        <v>R$ 0,00</v>
      </c>
      <c r="H7" t="str">
        <v/>
      </c>
      <c r="I7" t="str">
        <v>R$ 0,00</v>
      </c>
      <c r="J7" t="str">
        <v/>
      </c>
      <c r="K7" t="str">
        <v>R$ 0,00</v>
      </c>
      <c r="L7" t="str">
        <v/>
      </c>
      <c r="M7" t="str">
        <v/>
      </c>
    </row>
    <row r="8">
      <c r="A8">
        <v>170.11</v>
      </c>
      <c r="B8" t="str">
        <v/>
      </c>
      <c r="C8" t="str">
        <v>R$ 0,00</v>
      </c>
      <c r="D8" t="str">
        <v/>
      </c>
      <c r="E8" t="str">
        <v>R$ 0,00</v>
      </c>
      <c r="F8" t="str">
        <v/>
      </c>
      <c r="G8" t="str">
        <v>R$ 0,00</v>
      </c>
      <c r="H8" t="str">
        <v/>
      </c>
      <c r="I8" t="str">
        <v>R$ 0,00</v>
      </c>
      <c r="J8" t="str">
        <v/>
      </c>
      <c r="K8" t="str">
        <v>R$ 0,00</v>
      </c>
      <c r="L8" t="str">
        <v/>
      </c>
      <c r="M8" t="str">
        <v/>
      </c>
    </row>
    <row r="9">
      <c r="A9">
        <v>132.49</v>
      </c>
      <c r="B9" t="str">
        <v/>
      </c>
      <c r="C9" t="str">
        <v>R$ 0,00</v>
      </c>
      <c r="D9" t="str">
        <v/>
      </c>
      <c r="E9" t="str">
        <v>R$ 0,00</v>
      </c>
      <c r="F9" t="str">
        <v/>
      </c>
      <c r="G9" t="str">
        <v>R$ 0,00</v>
      </c>
      <c r="H9" t="str">
        <v/>
      </c>
      <c r="I9" t="str">
        <v>R$ 0,00</v>
      </c>
      <c r="J9" t="str">
        <v/>
      </c>
      <c r="K9" t="str">
        <v>R$ 0,00</v>
      </c>
      <c r="L9" t="str">
        <v/>
      </c>
      <c r="M9" t="str">
        <v/>
      </c>
    </row>
    <row r="10">
      <c r="A10">
        <v>368.7843</v>
      </c>
      <c r="B10" t="str">
        <v/>
      </c>
      <c r="C10" t="str">
        <v>R$ 0,00</v>
      </c>
      <c r="D10" t="str">
        <v/>
      </c>
      <c r="E10" t="str">
        <v>R$ 0,00</v>
      </c>
      <c r="F10" t="str">
        <v/>
      </c>
      <c r="G10" t="str">
        <v>R$ 0,00</v>
      </c>
      <c r="H10" t="str">
        <v/>
      </c>
      <c r="I10" t="str">
        <v>R$ 0,00</v>
      </c>
      <c r="J10" t="str">
        <v/>
      </c>
      <c r="K10" t="str">
        <v>R$ 0,00</v>
      </c>
      <c r="L10" t="str">
        <v/>
      </c>
      <c r="M10" t="str">
        <v/>
      </c>
    </row>
    <row r="11">
      <c r="A11">
        <v>300.8547</v>
      </c>
      <c r="B11" t="str">
        <v/>
      </c>
      <c r="C11" t="str">
        <v>R$ 0,00</v>
      </c>
      <c r="D11" t="str">
        <v/>
      </c>
      <c r="E11" t="str">
        <v>R$ 0,00</v>
      </c>
      <c r="F11" t="str">
        <v/>
      </c>
      <c r="G11" t="str">
        <v>R$ 0,00</v>
      </c>
      <c r="H11" t="str">
        <v/>
      </c>
      <c r="I11" t="str">
        <v>R$ 0,00</v>
      </c>
      <c r="J11" t="str">
        <v/>
      </c>
      <c r="K11" t="str">
        <v>R$ 0,00</v>
      </c>
      <c r="L11" t="str">
        <v/>
      </c>
      <c r="M11" t="str">
        <v/>
      </c>
    </row>
    <row r="12">
      <c r="A12">
        <v>179.93</v>
      </c>
      <c r="B12" t="str">
        <v/>
      </c>
      <c r="C12" t="str">
        <v>R$ 0,00</v>
      </c>
      <c r="D12" t="str">
        <v/>
      </c>
      <c r="E12" t="str">
        <v>R$ 0,00</v>
      </c>
      <c r="F12" t="str">
        <v/>
      </c>
      <c r="G12" t="str">
        <v>R$ 0,00</v>
      </c>
      <c r="H12" t="str">
        <v/>
      </c>
      <c r="I12" t="str">
        <v>R$ 0,00</v>
      </c>
      <c r="J12" t="str">
        <v/>
      </c>
      <c r="K12" t="str">
        <v>R$ 0,00</v>
      </c>
      <c r="L12" t="str">
        <v/>
      </c>
      <c r="M12" t="str">
        <v/>
      </c>
    </row>
    <row r="13">
      <c r="A13">
        <v>4037.1673</v>
      </c>
      <c r="B13" t="str">
        <v/>
      </c>
      <c r="C13">
        <v>1678.28</v>
      </c>
      <c r="D13" t="str">
        <v/>
      </c>
      <c r="E13">
        <v>0</v>
      </c>
      <c r="F13" t="str">
        <v/>
      </c>
      <c r="G13">
        <v>0</v>
      </c>
      <c r="H13" t="str">
        <v/>
      </c>
      <c r="I13">
        <v>0</v>
      </c>
      <c r="J13" t="str">
        <v/>
      </c>
      <c r="K13">
        <v>0</v>
      </c>
      <c r="L13" t="str">
        <v/>
      </c>
      <c r="M13" t="str">
        <v/>
      </c>
    </row>
  </sheetData>
  <ignoredErrors>
    <ignoredError numberStoredAsText="1" sqref="A1:M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FEV</v>
      </c>
    </row>
    <row r="2">
      <c r="A2">
        <v>243</v>
      </c>
      <c r="B2" t="str">
        <v/>
      </c>
      <c r="C2" t="str">
        <v>R$ 0,00</v>
      </c>
      <c r="D2" t="str">
        <v/>
      </c>
      <c r="E2" t="str">
        <v>R$ 0,00</v>
      </c>
      <c r="F2" t="str">
        <v/>
      </c>
      <c r="G2" t="str">
        <v>R$ 0,00</v>
      </c>
      <c r="H2" t="str">
        <v/>
      </c>
      <c r="I2" t="str">
        <v>R$ 0,00</v>
      </c>
      <c r="J2" t="str">
        <v/>
      </c>
      <c r="K2" t="str">
        <v>R$ 0,00</v>
      </c>
      <c r="L2" t="str">
        <v/>
      </c>
      <c r="M2" t="str">
        <v>booking</v>
      </c>
    </row>
    <row r="3">
      <c r="A3">
        <v>4889.417</v>
      </c>
      <c r="B3" t="str">
        <v/>
      </c>
      <c r="C3">
        <v>0</v>
      </c>
      <c r="D3" t="str">
        <v/>
      </c>
      <c r="E3">
        <v>0</v>
      </c>
      <c r="F3" t="str">
        <v/>
      </c>
      <c r="G3">
        <v>0</v>
      </c>
      <c r="H3" t="str">
        <v/>
      </c>
      <c r="I3">
        <v>0</v>
      </c>
      <c r="J3" t="str">
        <v/>
      </c>
      <c r="K3">
        <v>0</v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2"/>
  <sheetViews>
    <sheetView workbookViewId="0" rightToLeft="0"/>
  </sheetViews>
  <sheetData>
    <row r="1">
      <c r="A1" t="str">
        <v>FEV</v>
      </c>
    </row>
    <row r="2">
      <c r="A2">
        <v>906</v>
      </c>
      <c r="B2" t="str">
        <v/>
      </c>
      <c r="C2">
        <v>1309</v>
      </c>
      <c r="D2" t="str">
        <v/>
      </c>
      <c r="E2">
        <v>1322</v>
      </c>
      <c r="F2" t="str">
        <v/>
      </c>
      <c r="G2">
        <v>1420</v>
      </c>
      <c r="H2" t="str">
        <v/>
      </c>
      <c r="I2">
        <v>1421</v>
      </c>
      <c r="J2" t="str">
        <v/>
      </c>
      <c r="K2">
        <v>1422</v>
      </c>
      <c r="L2" t="str">
        <v/>
      </c>
      <c r="M2" t="str">
        <v/>
      </c>
    </row>
    <row r="3">
      <c r="A3">
        <v>318.78</v>
      </c>
      <c r="B3" t="str">
        <v/>
      </c>
      <c r="C3">
        <v>306.705</v>
      </c>
      <c r="D3" t="str">
        <v/>
      </c>
      <c r="E3">
        <v>293.615</v>
      </c>
      <c r="F3" t="str">
        <v/>
      </c>
      <c r="G3">
        <v>282.56</v>
      </c>
      <c r="H3" t="str">
        <v/>
      </c>
      <c r="I3">
        <v>311.2452</v>
      </c>
      <c r="J3" t="str">
        <v/>
      </c>
      <c r="K3">
        <v>345.7608</v>
      </c>
      <c r="L3" t="str">
        <v/>
      </c>
      <c r="M3" t="str">
        <v/>
      </c>
    </row>
    <row r="4">
      <c r="A4">
        <v>731.7744</v>
      </c>
      <c r="B4" t="str">
        <v/>
      </c>
      <c r="C4">
        <v>197.92</v>
      </c>
      <c r="D4" t="str">
        <v/>
      </c>
      <c r="E4">
        <v>389.9196</v>
      </c>
      <c r="F4" t="str">
        <v/>
      </c>
      <c r="G4">
        <v>541.5816</v>
      </c>
      <c r="H4" t="str">
        <v/>
      </c>
      <c r="I4">
        <v>177.0972</v>
      </c>
      <c r="J4" t="str">
        <v/>
      </c>
      <c r="K4">
        <v>2286.29</v>
      </c>
      <c r="L4" t="str">
        <v/>
      </c>
      <c r="M4" t="str">
        <v/>
      </c>
    </row>
    <row r="5">
      <c r="A5">
        <v>173.88</v>
      </c>
      <c r="B5" t="str">
        <v/>
      </c>
      <c r="C5">
        <v>221.65</v>
      </c>
      <c r="D5" t="str">
        <v/>
      </c>
      <c r="E5">
        <v>626.49</v>
      </c>
      <c r="F5" t="str">
        <v/>
      </c>
      <c r="G5">
        <v>252.126</v>
      </c>
      <c r="H5" t="str">
        <v/>
      </c>
      <c r="I5">
        <v>224.1</v>
      </c>
      <c r="J5" t="str">
        <v/>
      </c>
      <c r="K5">
        <v>156.3</v>
      </c>
      <c r="L5" t="str">
        <v/>
      </c>
      <c r="M5" t="str">
        <v/>
      </c>
    </row>
    <row r="6">
      <c r="A6">
        <v>199.962</v>
      </c>
      <c r="B6" t="str">
        <v/>
      </c>
      <c r="C6">
        <v>443.2176</v>
      </c>
      <c r="D6" t="str">
        <v/>
      </c>
      <c r="E6">
        <v>189.74</v>
      </c>
      <c r="F6" t="str">
        <v/>
      </c>
      <c r="G6">
        <v>156.492</v>
      </c>
      <c r="H6" t="str">
        <v/>
      </c>
      <c r="I6">
        <v>191.268</v>
      </c>
      <c r="J6" t="str">
        <v/>
      </c>
      <c r="K6">
        <v>179.93</v>
      </c>
      <c r="L6" t="str">
        <v/>
      </c>
      <c r="M6" t="str">
        <v/>
      </c>
    </row>
    <row r="7">
      <c r="A7">
        <v>151.3</v>
      </c>
      <c r="B7" t="str">
        <v/>
      </c>
      <c r="C7">
        <v>191.268</v>
      </c>
      <c r="D7" t="str">
        <v/>
      </c>
      <c r="E7">
        <v>170.016</v>
      </c>
      <c r="F7" t="str">
        <v/>
      </c>
      <c r="G7">
        <v>185.5308</v>
      </c>
      <c r="H7" t="str">
        <v/>
      </c>
      <c r="I7">
        <v>156.492</v>
      </c>
      <c r="J7" t="str">
        <v/>
      </c>
      <c r="K7">
        <v>198.75</v>
      </c>
      <c r="L7" t="str">
        <v/>
      </c>
      <c r="M7" t="str">
        <v/>
      </c>
    </row>
    <row r="8">
      <c r="A8">
        <v>404.7876</v>
      </c>
      <c r="B8" t="str">
        <v/>
      </c>
      <c r="C8">
        <v>194.65</v>
      </c>
      <c r="D8" t="str">
        <v/>
      </c>
      <c r="E8">
        <v>227.7912</v>
      </c>
      <c r="F8" t="str">
        <v/>
      </c>
      <c r="G8">
        <v>838.32</v>
      </c>
      <c r="H8" t="str">
        <v/>
      </c>
      <c r="I8">
        <v>199.962</v>
      </c>
      <c r="J8" t="str">
        <v/>
      </c>
      <c r="K8">
        <v>180.642</v>
      </c>
      <c r="L8" t="str">
        <v/>
      </c>
      <c r="M8" t="str">
        <v/>
      </c>
    </row>
    <row r="9">
      <c r="A9">
        <v>201.894</v>
      </c>
      <c r="B9" t="str">
        <v/>
      </c>
      <c r="C9">
        <v>151.3</v>
      </c>
      <c r="D9" t="str">
        <v/>
      </c>
      <c r="E9">
        <v>207</v>
      </c>
      <c r="F9" t="str">
        <v/>
      </c>
      <c r="G9">
        <v>312.984</v>
      </c>
      <c r="H9" t="str">
        <v/>
      </c>
      <c r="I9">
        <v>139.104</v>
      </c>
      <c r="J9" t="str">
        <v/>
      </c>
      <c r="K9">
        <v>224.1</v>
      </c>
      <c r="L9" t="str">
        <v/>
      </c>
      <c r="M9" t="str">
        <v/>
      </c>
    </row>
    <row r="10">
      <c r="A10">
        <v>138.04</v>
      </c>
      <c r="B10" t="str">
        <v/>
      </c>
      <c r="C10">
        <v>541.002</v>
      </c>
      <c r="D10" t="str">
        <v/>
      </c>
      <c r="E10">
        <v>207</v>
      </c>
      <c r="F10" t="str">
        <v/>
      </c>
      <c r="G10">
        <v>151.7964</v>
      </c>
      <c r="H10" t="str">
        <v/>
      </c>
      <c r="I10">
        <v>339.54</v>
      </c>
      <c r="J10" t="str">
        <v/>
      </c>
      <c r="K10">
        <v>170.11</v>
      </c>
      <c r="L10" t="str">
        <v/>
      </c>
      <c r="M10" t="str">
        <v/>
      </c>
    </row>
    <row r="11">
      <c r="A11">
        <v>574.9716</v>
      </c>
      <c r="B11" t="str">
        <v/>
      </c>
      <c r="C11">
        <v>134.9292</v>
      </c>
      <c r="D11" t="str">
        <v/>
      </c>
      <c r="E11">
        <v>207</v>
      </c>
      <c r="F11" t="str">
        <v/>
      </c>
      <c r="G11">
        <v>147.798</v>
      </c>
      <c r="H11" t="str">
        <v/>
      </c>
      <c r="I11">
        <v>180</v>
      </c>
      <c r="J11" t="str">
        <v/>
      </c>
      <c r="K11">
        <v>310.779</v>
      </c>
      <c r="L11" t="str">
        <v/>
      </c>
      <c r="M11" t="str">
        <v/>
      </c>
    </row>
    <row r="12">
      <c r="A12">
        <v>130.41</v>
      </c>
      <c r="B12" t="str">
        <v/>
      </c>
      <c r="C12">
        <v>166.95</v>
      </c>
      <c r="D12" t="str">
        <v/>
      </c>
      <c r="E12">
        <v>189.74</v>
      </c>
      <c r="F12" t="str">
        <v/>
      </c>
      <c r="G12">
        <v>165.186</v>
      </c>
      <c r="H12" t="str">
        <v/>
      </c>
      <c r="I12">
        <v>156.3</v>
      </c>
      <c r="J12" t="str">
        <v/>
      </c>
      <c r="K12">
        <v>198.78</v>
      </c>
      <c r="L12" t="str">
        <v/>
      </c>
      <c r="M12" t="str">
        <v/>
      </c>
    </row>
    <row r="13">
      <c r="A13">
        <v>130.41</v>
      </c>
      <c r="B13" t="str">
        <v/>
      </c>
      <c r="C13">
        <v>663.2136</v>
      </c>
      <c r="D13" t="str">
        <v/>
      </c>
      <c r="E13">
        <v>631.9236</v>
      </c>
      <c r="F13" t="str">
        <v/>
      </c>
      <c r="G13">
        <v>147.2436</v>
      </c>
      <c r="H13" t="str">
        <v/>
      </c>
      <c r="I13">
        <v>838.32</v>
      </c>
      <c r="J13" t="str">
        <v/>
      </c>
      <c r="K13">
        <v>151.3</v>
      </c>
      <c r="L13" t="str">
        <v/>
      </c>
      <c r="M13" t="str">
        <v/>
      </c>
    </row>
    <row r="14">
      <c r="A14">
        <v>138.04</v>
      </c>
      <c r="B14" t="str">
        <v/>
      </c>
      <c r="C14">
        <v>194.65</v>
      </c>
      <c r="D14" t="str">
        <v/>
      </c>
      <c r="E14">
        <v>191.268</v>
      </c>
      <c r="F14" t="str">
        <v/>
      </c>
      <c r="G14">
        <v>126.4956</v>
      </c>
      <c r="H14" t="str">
        <v/>
      </c>
      <c r="I14">
        <v>143.3628</v>
      </c>
      <c r="J14" t="str">
        <v/>
      </c>
      <c r="K14">
        <v>1316.77</v>
      </c>
      <c r="L14" t="str">
        <v/>
      </c>
      <c r="M14" t="str">
        <v/>
      </c>
    </row>
    <row r="15">
      <c r="A15">
        <v>1197.6468</v>
      </c>
      <c r="B15" t="str">
        <v/>
      </c>
      <c r="C15">
        <v>229</v>
      </c>
      <c r="D15" t="str">
        <v/>
      </c>
      <c r="E15">
        <v>130.41</v>
      </c>
      <c r="F15" t="str">
        <v/>
      </c>
      <c r="G15">
        <v>1480.4832</v>
      </c>
      <c r="H15" t="str">
        <v/>
      </c>
      <c r="I15">
        <v>146.77</v>
      </c>
      <c r="J15" t="str">
        <v/>
      </c>
      <c r="K15">
        <v>482.5466667</v>
      </c>
      <c r="L15" t="str">
        <v/>
      </c>
      <c r="M15" t="str">
        <v/>
      </c>
    </row>
    <row r="16">
      <c r="A16">
        <v>293.61</v>
      </c>
      <c r="B16" t="str">
        <v/>
      </c>
      <c r="C16">
        <v>142.31</v>
      </c>
      <c r="D16" t="str">
        <v/>
      </c>
      <c r="E16">
        <v>204.47</v>
      </c>
      <c r="F16" t="str">
        <v/>
      </c>
      <c r="G16">
        <v>284.8</v>
      </c>
      <c r="H16" t="str">
        <v/>
      </c>
      <c r="I16">
        <v>165.186</v>
      </c>
      <c r="J16" t="str">
        <v/>
      </c>
      <c r="K16">
        <v>0</v>
      </c>
      <c r="L16" t="str">
        <v/>
      </c>
      <c r="M16" t="str">
        <v/>
      </c>
    </row>
    <row r="17">
      <c r="A17">
        <v>392.5404</v>
      </c>
      <c r="B17" t="str">
        <v/>
      </c>
      <c r="C17">
        <v>275.4024</v>
      </c>
      <c r="D17" t="str">
        <v/>
      </c>
      <c r="E17">
        <v>255.78</v>
      </c>
      <c r="F17" t="str">
        <v/>
      </c>
      <c r="G17">
        <v>480.24</v>
      </c>
      <c r="H17" t="str">
        <v/>
      </c>
      <c r="I17">
        <v>139.104</v>
      </c>
      <c r="J17" t="str">
        <v/>
      </c>
      <c r="K17">
        <v>0</v>
      </c>
      <c r="L17" t="str">
        <v/>
      </c>
      <c r="M17" t="str">
        <v/>
      </c>
    </row>
    <row r="18">
      <c r="A18">
        <v>177.0972</v>
      </c>
      <c r="B18" t="str">
        <v/>
      </c>
      <c r="C18">
        <v>151.3</v>
      </c>
      <c r="D18" t="str">
        <v/>
      </c>
      <c r="E18">
        <v>131.1828</v>
      </c>
      <c r="F18" t="str">
        <v/>
      </c>
      <c r="G18">
        <v>0</v>
      </c>
      <c r="H18" t="str">
        <v/>
      </c>
      <c r="I18">
        <v>327.2052</v>
      </c>
      <c r="J18" t="str">
        <v/>
      </c>
      <c r="K18">
        <v>0</v>
      </c>
      <c r="L18" t="str">
        <v/>
      </c>
      <c r="M18" t="str">
        <v/>
      </c>
    </row>
    <row r="19">
      <c r="A19" t="str">
        <v>R$ 0,00</v>
      </c>
      <c r="B19" t="str">
        <v/>
      </c>
      <c r="C19">
        <v>1018.6512</v>
      </c>
      <c r="D19" t="str">
        <v/>
      </c>
      <c r="E19">
        <v>226.044</v>
      </c>
      <c r="F19" t="str">
        <v/>
      </c>
      <c r="G19">
        <v>0</v>
      </c>
      <c r="H19" t="str">
        <v/>
      </c>
      <c r="I19">
        <v>575.106</v>
      </c>
      <c r="J19" t="str">
        <v/>
      </c>
      <c r="K19">
        <v>0</v>
      </c>
      <c r="L19" t="str">
        <v/>
      </c>
      <c r="M19" t="str">
        <v/>
      </c>
    </row>
    <row r="20">
      <c r="A20" t="str">
        <v>R$ 0,00</v>
      </c>
      <c r="B20" t="str">
        <v/>
      </c>
      <c r="C20">
        <v>189.74</v>
      </c>
      <c r="D20" t="str">
        <v/>
      </c>
      <c r="E20">
        <v>1459.1556</v>
      </c>
      <c r="F20" t="str">
        <v/>
      </c>
      <c r="G20">
        <v>0</v>
      </c>
      <c r="H20" t="str">
        <v/>
      </c>
      <c r="I20">
        <v>165.186</v>
      </c>
      <c r="J20" t="str">
        <v/>
      </c>
      <c r="K20">
        <v>0</v>
      </c>
      <c r="L20" t="str">
        <v/>
      </c>
      <c r="M20" t="str">
        <v>booking</v>
      </c>
    </row>
    <row r="21">
      <c r="A21" t="str">
        <v>R$ 0,00</v>
      </c>
      <c r="B21" t="str">
        <v/>
      </c>
      <c r="C21">
        <v>246.99</v>
      </c>
      <c r="D21" t="str">
        <v/>
      </c>
      <c r="E21">
        <v>0</v>
      </c>
      <c r="F21" t="str">
        <v/>
      </c>
      <c r="G21">
        <v>0</v>
      </c>
      <c r="H21" t="str">
        <v/>
      </c>
      <c r="I21">
        <v>174.2</v>
      </c>
      <c r="J21" t="str">
        <v/>
      </c>
      <c r="K21">
        <v>0</v>
      </c>
      <c r="L21" t="str">
        <v/>
      </c>
      <c r="M21" t="str">
        <v>airbnb</v>
      </c>
    </row>
    <row r="22">
      <c r="A22">
        <v>5355.144</v>
      </c>
      <c r="B22" t="str">
        <v/>
      </c>
      <c r="C22">
        <v>5660.849</v>
      </c>
      <c r="D22" t="str">
        <v/>
      </c>
      <c r="E22">
        <v>5938.5458</v>
      </c>
      <c r="F22" t="str">
        <v/>
      </c>
      <c r="G22">
        <v>5553.6372</v>
      </c>
      <c r="H22" t="str">
        <v/>
      </c>
      <c r="I22">
        <v>4749.5484</v>
      </c>
      <c r="J22" t="str">
        <v/>
      </c>
      <c r="K22">
        <v>6202.058467</v>
      </c>
      <c r="L22" t="str">
        <v/>
      </c>
      <c r="M22" t="str">
        <v/>
      </c>
    </row>
  </sheetData>
  <ignoredErrors>
    <ignoredError numberStoredAsText="1" sqref="A1:M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FEV</v>
      </c>
    </row>
    <row r="2">
      <c r="A2" t="str">
        <v>A113</v>
      </c>
      <c r="C2" t="str">
        <v>A115</v>
      </c>
      <c r="E2" t="str">
        <v>A117</v>
      </c>
      <c r="G2" t="str">
        <v>-</v>
      </c>
      <c r="I2" t="str">
        <v>-</v>
      </c>
      <c r="K2" t="str">
        <v>-</v>
      </c>
    </row>
    <row r="3">
      <c r="A3">
        <f>414-(414*16%)</f>
        <v>347.76</v>
      </c>
      <c r="C3">
        <f>345-(345*16%)</f>
        <v>289.8</v>
      </c>
      <c r="E3">
        <v>3037.5</v>
      </c>
      <c r="G3" t="str">
        <v>R$ 0,00</v>
      </c>
      <c r="I3" t="str">
        <v>R$ 0,00</v>
      </c>
      <c r="K3" t="str">
        <v>R$ 0,00</v>
      </c>
    </row>
    <row r="4">
      <c r="A4">
        <f>777.76-(777.76*16%)</f>
        <v>653.3184</v>
      </c>
      <c r="C4">
        <f>793.17-(793.17*16%)</f>
        <v>666.2628</v>
      </c>
      <c r="E4">
        <v>3037.5</v>
      </c>
      <c r="G4" t="str">
        <v>R$ 0,00</v>
      </c>
      <c r="I4" t="str">
        <v>R$ 0,00</v>
      </c>
      <c r="K4" t="str">
        <v>R$ 0,00</v>
      </c>
    </row>
    <row r="5">
      <c r="A5">
        <v>299.34</v>
      </c>
      <c r="C5">
        <f>333.5-(333.5*16%)</f>
        <v>280.14</v>
      </c>
      <c r="E5" t="str">
        <v>R$ 0,00</v>
      </c>
      <c r="G5" t="str">
        <v>R$ 0,00</v>
      </c>
      <c r="I5" t="str">
        <v>R$ 0,00</v>
      </c>
      <c r="K5" t="str">
        <v>R$ 0,00</v>
      </c>
    </row>
    <row r="6">
      <c r="A6">
        <f>227.7-(227.7*16%)</f>
        <v>191.268</v>
      </c>
      <c r="C6">
        <f>253-(253*16%)</f>
        <v>212.52</v>
      </c>
      <c r="E6" t="str">
        <v>R$ 0,00</v>
      </c>
      <c r="G6" t="str">
        <v>R$ 0,00</v>
      </c>
      <c r="I6" t="str">
        <v>R$ 0,00</v>
      </c>
      <c r="K6" t="str">
        <v>R$ 0,00</v>
      </c>
    </row>
    <row r="7">
      <c r="A7">
        <f>250.99-(250.99*16%)</f>
        <v>210.8316</v>
      </c>
      <c r="C7">
        <f>276-(276*16%)</f>
        <v>231.84</v>
      </c>
      <c r="E7" t="str">
        <v>R$ 0,00</v>
      </c>
      <c r="G7" t="str">
        <v>R$ 0,00</v>
      </c>
      <c r="I7" t="str">
        <v>R$ 0,00</v>
      </c>
      <c r="K7" t="str">
        <v>R$ 0,00</v>
      </c>
    </row>
    <row r="8">
      <c r="A8">
        <f xml:space="preserve"> 196.65-( 196.65*16%)</f>
        <v>165.186</v>
      </c>
      <c r="C8">
        <f>218.5-(218.5*16%)</f>
        <v>183.54</v>
      </c>
      <c r="E8" t="str">
        <v>R$ 0,00</v>
      </c>
      <c r="G8" t="str">
        <v>R$ 0,00</v>
      </c>
      <c r="I8" t="str">
        <v>R$ 0,00</v>
      </c>
      <c r="K8" t="str">
        <v>R$ 0,00</v>
      </c>
    </row>
    <row r="9">
      <c r="A9">
        <f xml:space="preserve"> 196.65-( 196.65*16%)</f>
        <v>165.186</v>
      </c>
      <c r="C9">
        <f>780.72-(780.72*16%)</f>
        <v>655.8048</v>
      </c>
      <c r="E9" t="str">
        <v>R$ 0,00</v>
      </c>
      <c r="G9" t="str">
        <v>R$ 0,00</v>
      </c>
      <c r="I9" t="str">
        <v>R$ 0,00</v>
      </c>
      <c r="K9" t="str">
        <v>R$ 0,00</v>
      </c>
    </row>
    <row r="10">
      <c r="A10">
        <f xml:space="preserve">  766.95-(  766.95*16%)</f>
        <v>644.238</v>
      </c>
      <c r="C10">
        <f xml:space="preserve"> 195.5-( 195.5*16%)</f>
        <v>164.22</v>
      </c>
      <c r="E10" t="str">
        <v>R$ 0,00</v>
      </c>
      <c r="G10" t="str">
        <v>R$ 0,00</v>
      </c>
      <c r="I10" t="str">
        <v>R$ 0,00</v>
      </c>
      <c r="K10" t="str">
        <v>R$ 0,00</v>
      </c>
    </row>
    <row r="11">
      <c r="A11">
        <f xml:space="preserve">   799.38-(   799.38*16%)</f>
        <v>671.4792</v>
      </c>
      <c r="C11">
        <f xml:space="preserve"> 322-( 322*16%)</f>
        <v>270.48</v>
      </c>
      <c r="E11" t="str">
        <v>R$ 0,00</v>
      </c>
      <c r="G11" t="str">
        <v>R$ 0,00</v>
      </c>
      <c r="I11" t="str">
        <v>R$ 0,00</v>
      </c>
      <c r="K11" t="str">
        <v>R$ 0,00</v>
      </c>
    </row>
    <row r="12">
      <c r="A12">
        <f xml:space="preserve">   709.46-(   709.46*16%)</f>
        <v>595.9464</v>
      </c>
      <c r="C12">
        <f xml:space="preserve"> 323.5-( 323.5*16%)</f>
        <v>271.74</v>
      </c>
      <c r="E12" t="str">
        <v>R$ 0,00</v>
      </c>
      <c r="G12" t="str">
        <v>R$ 0,00</v>
      </c>
      <c r="I12" t="str">
        <v>R$ 0,00</v>
      </c>
      <c r="K12" t="str">
        <v>R$ 0,00</v>
      </c>
    </row>
    <row r="13">
      <c r="A13">
        <f xml:space="preserve">   189.63-(   189.63*16%)</f>
        <v>159.2892</v>
      </c>
      <c r="C13">
        <f>253-(253*16%)</f>
        <v>212.52</v>
      </c>
      <c r="E13" t="str">
        <v>R$ 0,00</v>
      </c>
      <c r="G13" t="str">
        <v>R$ 0,00</v>
      </c>
      <c r="I13" t="str">
        <v>R$ 0,00</v>
      </c>
      <c r="K13" t="str">
        <v>R$ 0,00</v>
      </c>
    </row>
    <row r="14">
      <c r="A14">
        <f xml:space="preserve">   190.76-(   190.76*16%)</f>
        <v>160.2384</v>
      </c>
      <c r="C14">
        <f>292.15-(292.15*16%)</f>
        <v>245.406</v>
      </c>
      <c r="E14" t="str">
        <v>R$ 0,00</v>
      </c>
      <c r="G14" t="str">
        <v>R$ 0,00</v>
      </c>
      <c r="I14" t="str">
        <v>R$ 0,00</v>
      </c>
      <c r="K14" t="str">
        <v>R$ 0,00</v>
      </c>
    </row>
    <row r="15">
      <c r="A15">
        <f xml:space="preserve">    1136.48-(  1136.48*16%)</f>
        <v>954.6432</v>
      </c>
      <c r="C15">
        <f>250-(250*10%)</f>
        <v>225</v>
      </c>
      <c r="E15" t="str">
        <v>R$ 0,00</v>
      </c>
      <c r="G15" t="str">
        <v>R$ 0,00</v>
      </c>
      <c r="I15" t="str">
        <v>R$ 0,00</v>
      </c>
      <c r="K15" t="str">
        <v>R$ 0,00</v>
      </c>
    </row>
    <row r="16">
      <c r="A16">
        <f xml:space="preserve">     288.14-(   288.14*16%)</f>
        <v>242.0376</v>
      </c>
      <c r="C16">
        <f>207-(207*16%)</f>
        <v>173.88</v>
      </c>
      <c r="E16" t="str">
        <v>R$ 0,00</v>
      </c>
      <c r="G16" t="str">
        <v>R$ 0,00</v>
      </c>
      <c r="I16" t="str">
        <v>R$ 0,00</v>
      </c>
      <c r="K16" t="str">
        <v>R$ 0,00</v>
      </c>
    </row>
    <row r="17" xml:space="preserve">
      <c r="A17" xml:space="preserve">
        <f xml:space="preserve">     372.6
-(   372.6
*16%)</f>
        <v>312.984</v>
      </c>
      <c r="C17">
        <f>184-(184*16%)</f>
        <v>154.56</v>
      </c>
      <c r="E17" t="str">
        <v>R$ 0,00</v>
      </c>
      <c r="G17" t="str">
        <v>R$ 0,00</v>
      </c>
      <c r="I17" t="str">
        <v>R$ 0,00</v>
      </c>
      <c r="K17" t="str">
        <v>R$ 0,00</v>
      </c>
    </row>
    <row r="18">
      <c r="A18">
        <f xml:space="preserve"> 271.07-(   271.07*16%)</f>
        <v>227.6988</v>
      </c>
      <c r="C18">
        <f>253-(253*16%)</f>
        <v>212.52</v>
      </c>
      <c r="E18" t="str">
        <v>R$ 0,00</v>
      </c>
      <c r="G18" t="str">
        <v>R$ 0,00</v>
      </c>
      <c r="I18" t="str">
        <v>R$ 0,00</v>
      </c>
      <c r="K18" t="str">
        <v>R$ 0,00</v>
      </c>
    </row>
    <row r="19">
      <c r="A19">
        <f>250.99-(250.99*16%)</f>
        <v>210.8316</v>
      </c>
      <c r="C19">
        <f>292.15-(292.15*16%)</f>
        <v>245.406</v>
      </c>
      <c r="E19" t="str">
        <v>R$ 0,00</v>
      </c>
      <c r="G19" t="str">
        <v>R$ 0,00</v>
      </c>
      <c r="I19" t="str">
        <v>R$ 0,00</v>
      </c>
      <c r="K19" t="str">
        <v>R$ 0,00</v>
      </c>
    </row>
    <row r="20">
      <c r="A20">
        <f>321.26-(321.26*16%)</f>
        <v>269.8584</v>
      </c>
      <c r="C20">
        <f xml:space="preserve"> 216.41-( 216.41*16%)</f>
        <v>181.7844</v>
      </c>
      <c r="E20" t="str">
        <v>R$ 0,00</v>
      </c>
      <c r="G20" t="str">
        <v>R$ 0,00</v>
      </c>
      <c r="I20" t="str">
        <v>R$ 0,00</v>
      </c>
      <c r="K20" t="str">
        <v>R$ 0,00</v>
      </c>
      <c r="N20" t="str">
        <v>booking</v>
      </c>
    </row>
    <row r="21">
      <c r="A21" t="str">
        <v>R$ 0,00</v>
      </c>
      <c r="C21">
        <f xml:space="preserve"> 310.5-( 310.5*16%)</f>
        <v>260.82</v>
      </c>
      <c r="E21" t="str">
        <v>R$ 0,00</v>
      </c>
      <c r="G21" t="str">
        <v>R$ 0,00</v>
      </c>
      <c r="I21" t="str">
        <v>R$ 0,00</v>
      </c>
      <c r="K21" t="str">
        <v>R$ 0,00</v>
      </c>
      <c r="N21" t="str">
        <v>airbnb</v>
      </c>
    </row>
    <row r="22">
      <c r="A22" t="str">
        <v>R$ 0,00</v>
      </c>
      <c r="C22">
        <f xml:space="preserve"> 742.02-( 742.02*16%)</f>
        <v>623.2968</v>
      </c>
      <c r="E22" t="str">
        <v>R$ 0,00</v>
      </c>
      <c r="G22" t="str">
        <v>R$ 0,00</v>
      </c>
      <c r="I22" t="str">
        <v>R$ 0,00</v>
      </c>
      <c r="K22" t="str">
        <v>R$ 0,00</v>
      </c>
      <c r="N22" t="str">
        <v>alugueasy</v>
      </c>
    </row>
    <row r="23">
      <c r="A23" t="str">
        <v>R$ 0,00</v>
      </c>
      <c r="C23">
        <f xml:space="preserve"> 230-( 230*16%)</f>
        <v>193.2</v>
      </c>
      <c r="E23" t="str">
        <v>R$ 0,00</v>
      </c>
      <c r="G23" t="str">
        <v>R$ 0,00</v>
      </c>
      <c r="I23" t="str">
        <v>R$ 0,00</v>
      </c>
      <c r="K23" t="str">
        <v>R$ 0,00</v>
      </c>
    </row>
    <row r="24">
      <c r="A24" t="str">
        <v>R$ 0,00</v>
      </c>
      <c r="C24">
        <f>(433.4736)/2*1</f>
        <v>216.7368</v>
      </c>
      <c r="E24" t="str">
        <v>R$ 0,00</v>
      </c>
      <c r="G24" t="str">
        <v>R$ 0,00</v>
      </c>
      <c r="I24" t="str">
        <v>R$ 0,00</v>
      </c>
      <c r="K24" t="str">
        <v>R$ 0,00</v>
      </c>
    </row>
    <row r="25">
      <c r="A25" t="str">
        <v>R$ 0,00</v>
      </c>
      <c r="C25" t="str">
        <v>R$ 0,00</v>
      </c>
      <c r="E25" t="str">
        <v>R$ 0,00</v>
      </c>
      <c r="G25" t="str">
        <v>R$ 0,00</v>
      </c>
      <c r="I25" t="str">
        <v>R$ 0,00</v>
      </c>
      <c r="K25" t="str">
        <v>R$ 0,00</v>
      </c>
    </row>
    <row r="26">
      <c r="A26" t="str">
        <v>R$ 0,00</v>
      </c>
      <c r="C26" t="str">
        <v>R$ 0,00</v>
      </c>
      <c r="E26" t="str">
        <v>R$ 0,00</v>
      </c>
      <c r="G26" t="str">
        <v>R$ 0,00</v>
      </c>
      <c r="I26" t="str">
        <v>R$ 0,00</v>
      </c>
      <c r="K26" t="str">
        <v>R$ 0,00</v>
      </c>
    </row>
    <row r="27">
      <c r="A27" t="str">
        <v>R$ 0,00</v>
      </c>
      <c r="C27" t="str">
        <v>R$ 0,00</v>
      </c>
      <c r="E27" t="str">
        <v>R$ 0,00</v>
      </c>
      <c r="G27" t="str">
        <v>R$ 0,00</v>
      </c>
      <c r="I27" t="str">
        <v>R$ 0,00</v>
      </c>
      <c r="K27" t="str">
        <v>R$ 0,00</v>
      </c>
    </row>
    <row r="28">
      <c r="A28" t="str">
        <v>R$ 0,00</v>
      </c>
      <c r="C28" t="str">
        <v>R$ 0,00</v>
      </c>
      <c r="E28" t="str">
        <v>R$ 0,00</v>
      </c>
      <c r="G28" t="str">
        <v>R$ 0,00</v>
      </c>
      <c r="I28" t="str">
        <v>R$ 0,00</v>
      </c>
      <c r="K28" t="str">
        <v>R$ 0,00</v>
      </c>
    </row>
    <row r="29">
      <c r="A29" t="str">
        <v>R$ 0,00</v>
      </c>
      <c r="C29" t="str">
        <v>R$ 0,00</v>
      </c>
      <c r="E29" t="str">
        <v>R$ 0,00</v>
      </c>
      <c r="G29" t="str">
        <v>R$ 0,00</v>
      </c>
      <c r="I29" t="str">
        <v>R$ 0,00</v>
      </c>
      <c r="K29" t="str">
        <v>R$ 0,00</v>
      </c>
    </row>
    <row r="30">
      <c r="A30">
        <f>SUM(A3:A29)</f>
        <v>6482.1348</v>
      </c>
      <c r="C30">
        <f>SUM(C3:C29)</f>
        <v>6171.4776</v>
      </c>
      <c r="E30">
        <f>SUM(E3:E29)</f>
        <v>6075</v>
      </c>
      <c r="G30">
        <f>SUM(G3:G29)</f>
        <v>0</v>
      </c>
      <c r="I30">
        <f>SUM(I3:I29)</f>
        <v>0</v>
      </c>
      <c r="K30">
        <f>SUM(K3:K29)</f>
        <v>0</v>
      </c>
    </row>
    <row r="31">
      <c r="A31" t="str">
        <v>TOTAL</v>
      </c>
      <c r="B31">
        <f>A30+C30+E30+G30+I30+K30</f>
        <v>18728.6124</v>
      </c>
    </row>
    <row r="32">
      <c r="A32">
        <f>(A30-4725.17)</f>
        <v>1756.9648</v>
      </c>
      <c r="C32">
        <f>(C30-6496.79)</f>
        <v>-325.3124</v>
      </c>
      <c r="E32">
        <f>(E30-6713.71)</f>
        <v>-638.71</v>
      </c>
      <c r="G32">
        <f>(G30-0)</f>
        <v>0</v>
      </c>
      <c r="I32">
        <f>(I30-0)</f>
        <v>0</v>
      </c>
      <c r="K32">
        <f>(K30-0)</f>
        <v>0</v>
      </c>
    </row>
    <row r="36">
      <c r="D36" t="str">
        <v>FAT</v>
      </c>
      <c r="E36">
        <f>B31</f>
        <v>18728.6124</v>
      </c>
      <c r="F36">
        <v>18728.612399999998</v>
      </c>
    </row>
    <row r="37">
      <c r="D37" t="str">
        <v>LUC</v>
      </c>
      <c r="E37">
        <f>A32+C32+E32+G32+I32+K32</f>
        <v>792.9424</v>
      </c>
      <c r="F37">
        <v>792.9423999999981</v>
      </c>
    </row>
  </sheetData>
  <mergeCells count="2">
    <mergeCell ref="A1:K1"/>
    <mergeCell ref="B31:K31"/>
  </mergeCells>
  <ignoredErrors>
    <ignoredError numberStoredAsText="1" sqref="A1:N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00"/>
  <sheetViews>
    <sheetView workbookViewId="0" rightToLeft="0"/>
  </sheetViews>
  <sheetData>
    <row r="1">
      <c r="A1" t="str">
        <v>JANEIRO</v>
      </c>
    </row>
    <row r="2">
      <c r="A2" t="str">
        <v>ESSENCE</v>
      </c>
      <c r="C2" t="str">
        <v>CULLINAN</v>
      </c>
      <c r="E2" t="str">
        <v>ATHOS</v>
      </c>
      <c r="G2" t="str">
        <v>NOBILE</v>
      </c>
      <c r="I2" t="str">
        <v>FUSION</v>
      </c>
      <c r="K2" t="str">
        <v>METROPOLITAN</v>
      </c>
      <c r="M2" t="str">
        <v>BRISAS</v>
      </c>
      <c r="O2" t="str">
        <v>MERCURE</v>
      </c>
      <c r="Q2" t="str">
        <v>VISION</v>
      </c>
    </row>
    <row r="3">
      <c r="A3">
        <v>15118.573400000001</v>
      </c>
      <c r="B3" t="str">
        <v>FAT</v>
      </c>
      <c r="C3">
        <v>33954.7877</v>
      </c>
      <c r="D3" t="str">
        <v>FAT</v>
      </c>
      <c r="E3">
        <v>31727.9873</v>
      </c>
      <c r="F3" t="str">
        <v>FAT</v>
      </c>
      <c r="G3">
        <v>4929.1850691244235</v>
      </c>
      <c r="H3" t="str">
        <v>FAT</v>
      </c>
      <c r="I3">
        <v>5715.447299999999</v>
      </c>
      <c r="J3" t="str">
        <v>FAT</v>
      </c>
      <c r="K3">
        <v>4889.417</v>
      </c>
      <c r="L3" t="str">
        <v>FAT</v>
      </c>
      <c r="M3">
        <v>18728.612399999998</v>
      </c>
      <c r="N3" t="str">
        <v>FAT</v>
      </c>
      <c r="O3">
        <v>33459.78286666667</v>
      </c>
      <c r="P3" t="str">
        <v>FAT</v>
      </c>
      <c r="Q3">
        <v>3315.1172</v>
      </c>
    </row>
    <row r="4">
      <c r="A4">
        <v>827.8734000000004</v>
      </c>
      <c r="B4" t="str">
        <v>LUC</v>
      </c>
      <c r="C4">
        <v>-1486.0022999999983</v>
      </c>
      <c r="D4" t="str">
        <v>LUC</v>
      </c>
      <c r="E4">
        <v>-7618.1527</v>
      </c>
      <c r="F4" t="str">
        <v>LUC</v>
      </c>
      <c r="G4">
        <v>-2200.154930875576</v>
      </c>
      <c r="H4" t="str">
        <v>LUC</v>
      </c>
      <c r="I4">
        <v>-2813.3927000000012</v>
      </c>
      <c r="J4" t="str">
        <v>LUC</v>
      </c>
      <c r="K4">
        <v>1714.6070000000004</v>
      </c>
      <c r="L4" t="str">
        <v>LUC</v>
      </c>
      <c r="M4">
        <v>792.9423999999981</v>
      </c>
      <c r="N4" t="str">
        <v>LUC</v>
      </c>
      <c r="O4">
        <v>2916.632866666667</v>
      </c>
      <c r="P4" t="str">
        <v>LUC</v>
      </c>
      <c r="Q4">
        <v>400.69720000000007</v>
      </c>
    </row>
    <row r="5">
      <c r="A5" t="str">
        <v>R$ 0,00</v>
      </c>
      <c r="C5" t="str">
        <v>R$ 0,00</v>
      </c>
      <c r="E5" t="str">
        <v>R$ 0,00</v>
      </c>
      <c r="G5" t="str">
        <v>R$ 0,00</v>
      </c>
      <c r="I5" t="str">
        <v>R$ 0,00</v>
      </c>
      <c r="K5" t="str">
        <v>R$ 0,00</v>
      </c>
      <c r="M5" t="str">
        <v>R$ 0,00</v>
      </c>
      <c r="O5" t="str">
        <v>R$ 0,00</v>
      </c>
      <c r="Q5" t="str">
        <v>R$ 0,00</v>
      </c>
    </row>
    <row r="6">
      <c r="A6" t="str">
        <v>R$ 0,00</v>
      </c>
      <c r="C6" t="str">
        <v>R$ 0,00</v>
      </c>
      <c r="E6" t="str">
        <v>R$ 0,00</v>
      </c>
      <c r="G6" t="str">
        <v>R$ 0,00</v>
      </c>
      <c r="I6" t="str">
        <v>R$ 0,00</v>
      </c>
      <c r="K6" t="str">
        <v>R$ 0,00</v>
      </c>
      <c r="M6" t="str">
        <v>R$ 0,00</v>
      </c>
      <c r="O6" t="str">
        <v>R$ 0,00</v>
      </c>
      <c r="Q6" t="str">
        <v>R$ 0,00</v>
      </c>
    </row>
    <row r="7">
      <c r="A7" t="str">
        <v>TOTAL FAT</v>
      </c>
      <c r="B7">
        <f>A3+C3+E3+G3+I3+K3+M3+O3+Q3</f>
        <v>151838.9102</v>
      </c>
    </row>
    <row r="8">
      <c r="A8" t="str">
        <v>TOTAL FAT</v>
      </c>
      <c r="B8">
        <f>A4+C4+E4+G4+I4+K4+M4+O4+Q4</f>
        <v>-7464.949764</v>
      </c>
    </row>
  </sheetData>
  <mergeCells count="3">
    <mergeCell ref="A1:P1"/>
    <mergeCell ref="B7:P7"/>
    <mergeCell ref="B8:P8"/>
  </mergeCells>
  <ignoredErrors>
    <ignoredError numberStoredAsText="1" sqref="A1:Q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ESSENCE</vt:lpstr>
      <vt:lpstr>CULLINAN</vt:lpstr>
      <vt:lpstr>ATHOS</vt:lpstr>
      <vt:lpstr>NOBILE</vt:lpstr>
      <vt:lpstr>VISION</vt:lpstr>
      <vt:lpstr>FUSION</vt:lpstr>
      <vt:lpstr>METROPOLITAN</vt:lpstr>
      <vt:lpstr>MERCURE</vt:lpstr>
      <vt:lpstr>BRISAS</vt:lpstr>
      <vt:lpstr>RESULTADO SUB 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