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SENCE" sheetId="1" r:id="rId1"/>
    <sheet name="CULLINAN" sheetId="2" r:id="rId2"/>
    <sheet name="ATHOS" sheetId="3" r:id="rId3"/>
    <sheet name="NOBILE" sheetId="4" r:id="rId4"/>
    <sheet name="VISION" sheetId="5" r:id="rId5"/>
    <sheet name="FUSION" sheetId="6" r:id="rId6"/>
    <sheet name="METROPOLITAN" sheetId="7" r:id="rId7"/>
    <sheet name="MERCURE" sheetId="8" r:id="rId8"/>
    <sheet name="BRISAS" sheetId="9" r:id="rId9"/>
    <sheet name="RESULTADO ADM M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R$]#,##0.00"/>
    <numFmt numFmtId="165" formatCode="&quot;$&quot;#,##0.00"/>
    <numFmt numFmtId="166" formatCode="[$R$ -416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 rightToLeft="0"/>
  </sheetViews>
  <sheetData>
    <row r="1">
      <c r="A1" t="str">
        <v>FEV</v>
      </c>
    </row>
    <row r="2">
      <c r="A2">
        <v>302</v>
      </c>
      <c r="B2" t="str">
        <v>Descrição</v>
      </c>
      <c r="C2">
        <v>603</v>
      </c>
      <c r="D2" t="str">
        <v>Descrição</v>
      </c>
      <c r="E2" t="str">
        <v>-</v>
      </c>
      <c r="F2" t="str">
        <v>Descrição</v>
      </c>
      <c r="G2" t="str">
        <v>-</v>
      </c>
      <c r="H2" t="str">
        <v>Descrição</v>
      </c>
      <c r="I2" t="str">
        <v>-</v>
      </c>
      <c r="J2" t="str">
        <v>Descrição</v>
      </c>
      <c r="K2" t="str">
        <v>-</v>
      </c>
      <c r="L2" t="str">
        <v>Descrição</v>
      </c>
      <c r="M2" t="str">
        <v>-</v>
      </c>
      <c r="N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0</v>
      </c>
      <c r="F3" t="str">
        <v>Amenitiz</v>
      </c>
      <c r="G3">
        <v>0</v>
      </c>
      <c r="H3" t="str">
        <v>Amenitiz</v>
      </c>
      <c r="I3">
        <v>0</v>
      </c>
      <c r="J3" t="str">
        <v>Amenitiz</v>
      </c>
      <c r="K3">
        <v>0</v>
      </c>
      <c r="L3" t="str">
        <v>Amenitiz</v>
      </c>
      <c r="M3">
        <v>0</v>
      </c>
      <c r="N3" t="str">
        <v>Amenitiz</v>
      </c>
    </row>
    <row r="4">
      <c r="A4">
        <v>6787.88</v>
      </c>
      <c r="B4" t="str">
        <v>Condomínio</v>
      </c>
      <c r="C4">
        <v>6729.38</v>
      </c>
      <c r="D4" t="str">
        <v>Condomínio</v>
      </c>
      <c r="E4">
        <v>0</v>
      </c>
      <c r="F4" t="str">
        <v>Condomínio</v>
      </c>
      <c r="G4">
        <v>0</v>
      </c>
      <c r="H4" t="str">
        <v>Condomínio</v>
      </c>
      <c r="I4">
        <v>0</v>
      </c>
      <c r="J4" t="str">
        <v>Condomínio</v>
      </c>
      <c r="K4">
        <v>0</v>
      </c>
      <c r="L4" t="str">
        <v>Condomínio</v>
      </c>
      <c r="M4">
        <v>0</v>
      </c>
      <c r="N4" t="str">
        <v>Condomínio</v>
      </c>
    </row>
    <row r="5">
      <c r="A5">
        <v>213.77</v>
      </c>
      <c r="B5" t="str">
        <v>Lavanderia</v>
      </c>
      <c r="C5">
        <v>213.77</v>
      </c>
      <c r="D5" t="str">
        <v>Lavanderia</v>
      </c>
      <c r="E5">
        <v>0</v>
      </c>
      <c r="F5" t="str">
        <v>Lavanderia</v>
      </c>
      <c r="G5">
        <v>0</v>
      </c>
      <c r="H5" t="str">
        <v>Lavanderia</v>
      </c>
      <c r="I5">
        <v>0</v>
      </c>
      <c r="J5" t="str">
        <v>Lavanderia</v>
      </c>
      <c r="K5">
        <v>0</v>
      </c>
      <c r="L5" t="str">
        <v>Lavanderia</v>
      </c>
      <c r="M5">
        <v>0</v>
      </c>
      <c r="N5" t="str">
        <v>Lavanderia</v>
      </c>
    </row>
    <row r="6">
      <c r="A6">
        <v>90</v>
      </c>
      <c r="B6" t="str">
        <v>Manutenção</v>
      </c>
      <c r="C6">
        <v>90</v>
      </c>
      <c r="D6" t="str">
        <v>Manutenção</v>
      </c>
      <c r="E6">
        <v>0</v>
      </c>
      <c r="F6" t="str">
        <v>Manutenção</v>
      </c>
      <c r="G6">
        <v>0</v>
      </c>
      <c r="H6" t="str">
        <v>Manutenção</v>
      </c>
      <c r="I6">
        <v>0</v>
      </c>
      <c r="J6" t="str">
        <v>Manutenção</v>
      </c>
      <c r="K6">
        <v>0</v>
      </c>
      <c r="L6" t="str">
        <v>Manutenção</v>
      </c>
      <c r="M6">
        <v>0</v>
      </c>
      <c r="N6" t="str">
        <v>Manutenção</v>
      </c>
    </row>
    <row r="7">
      <c r="A7">
        <v>52.95</v>
      </c>
      <c r="B7" t="str">
        <v>Mercado</v>
      </c>
      <c r="C7">
        <v>52.95</v>
      </c>
      <c r="D7" t="str">
        <v>Mercado</v>
      </c>
      <c r="E7">
        <v>0</v>
      </c>
      <c r="F7" t="str">
        <v>Mercado</v>
      </c>
      <c r="G7">
        <v>0</v>
      </c>
      <c r="H7" t="str">
        <v>Mercado</v>
      </c>
      <c r="I7">
        <v>0</v>
      </c>
      <c r="J7" t="str">
        <v>Mercado</v>
      </c>
      <c r="K7">
        <v>0</v>
      </c>
      <c r="L7" t="str">
        <v>Mercado</v>
      </c>
      <c r="M7">
        <v>0</v>
      </c>
      <c r="N7" t="str">
        <v>Mercado</v>
      </c>
    </row>
    <row r="8">
      <c r="A8">
        <v>7174.6</v>
      </c>
      <c r="B8" t="str">
        <v/>
      </c>
      <c r="C8">
        <v>7116.1</v>
      </c>
      <c r="D8" t="str">
        <v/>
      </c>
      <c r="E8">
        <v>0</v>
      </c>
      <c r="F8" t="str">
        <v/>
      </c>
      <c r="G8">
        <v>0</v>
      </c>
      <c r="H8" t="str">
        <v/>
      </c>
      <c r="I8">
        <v>0</v>
      </c>
      <c r="J8" t="str">
        <v/>
      </c>
      <c r="K8">
        <v>0</v>
      </c>
      <c r="L8" t="str">
        <v/>
      </c>
      <c r="M8">
        <v>0</v>
      </c>
      <c r="N8" t="str">
        <v/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FEV</v>
      </c>
    </row>
    <row r="2">
      <c r="A2">
        <v>218</v>
      </c>
      <c r="B2" t="str">
        <v>Descrição</v>
      </c>
      <c r="C2">
        <v>304</v>
      </c>
      <c r="D2" t="str">
        <v>Descrição</v>
      </c>
      <c r="E2">
        <v>404</v>
      </c>
      <c r="F2" t="str">
        <v>Descrição</v>
      </c>
      <c r="G2">
        <v>803</v>
      </c>
      <c r="H2" t="str">
        <v>Descrição</v>
      </c>
      <c r="I2">
        <v>916</v>
      </c>
      <c r="J2" t="str">
        <v>Descrição</v>
      </c>
      <c r="K2" t="str">
        <v>-</v>
      </c>
      <c r="L2" t="str">
        <v/>
      </c>
      <c r="M2" t="str">
        <v/>
      </c>
      <c r="N2" t="str">
        <v/>
      </c>
      <c r="O2" t="str">
        <v>-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30</v>
      </c>
      <c r="H3" t="str">
        <v>Amenitiz</v>
      </c>
      <c r="I3">
        <v>30</v>
      </c>
      <c r="J3" t="str">
        <v>Amenitiz</v>
      </c>
      <c r="K3">
        <v>0</v>
      </c>
      <c r="L3" t="str">
        <v/>
      </c>
      <c r="M3" t="str">
        <v/>
      </c>
      <c r="N3" t="str">
        <v/>
      </c>
      <c r="O3">
        <v>0</v>
      </c>
    </row>
    <row r="4">
      <c r="A4">
        <v>6877.04</v>
      </c>
      <c r="B4" t="str">
        <v>Condomínio</v>
      </c>
      <c r="C4">
        <v>6800</v>
      </c>
      <c r="D4" t="str">
        <v>Condomínio</v>
      </c>
      <c r="E4">
        <v>6500</v>
      </c>
      <c r="F4" t="str">
        <v>Condomínio</v>
      </c>
      <c r="G4">
        <v>6800</v>
      </c>
      <c r="H4" t="str">
        <v>Condomínio</v>
      </c>
      <c r="I4">
        <v>6680</v>
      </c>
      <c r="J4" t="str">
        <v>Condomínio</v>
      </c>
      <c r="K4">
        <v>0</v>
      </c>
      <c r="L4" t="str">
        <v/>
      </c>
      <c r="M4" t="str">
        <v/>
      </c>
      <c r="N4" t="str">
        <v/>
      </c>
      <c r="O4">
        <v>0</v>
      </c>
    </row>
    <row r="5">
      <c r="A5">
        <v>213.77</v>
      </c>
      <c r="B5" t="str">
        <v>Lavanderia</v>
      </c>
      <c r="C5">
        <v>213.77</v>
      </c>
      <c r="D5" t="str">
        <v>Lavanderia</v>
      </c>
      <c r="E5">
        <v>213.77</v>
      </c>
      <c r="F5" t="str">
        <v>Lavanderia</v>
      </c>
      <c r="G5">
        <v>213.77</v>
      </c>
      <c r="H5" t="str">
        <v>Lavanderia</v>
      </c>
      <c r="I5">
        <v>213.77</v>
      </c>
      <c r="J5" t="str">
        <v>Lavanderia</v>
      </c>
      <c r="K5">
        <v>0</v>
      </c>
      <c r="L5" t="str">
        <v/>
      </c>
      <c r="M5" t="str">
        <v/>
      </c>
      <c r="N5" t="str">
        <v/>
      </c>
      <c r="O5">
        <v>0</v>
      </c>
    </row>
    <row r="6">
      <c r="A6">
        <v>90</v>
      </c>
      <c r="B6" t="str">
        <v>Manutenção</v>
      </c>
      <c r="C6">
        <v>90</v>
      </c>
      <c r="D6" t="str">
        <v>Manutenção</v>
      </c>
      <c r="E6">
        <v>90</v>
      </c>
      <c r="F6" t="str">
        <v>Manutenção</v>
      </c>
      <c r="G6">
        <v>125</v>
      </c>
      <c r="H6" t="str">
        <v>Manutenção</v>
      </c>
      <c r="I6">
        <v>90</v>
      </c>
      <c r="J6" t="str">
        <v>Manutenção</v>
      </c>
      <c r="K6">
        <v>0</v>
      </c>
      <c r="L6" t="str">
        <v/>
      </c>
      <c r="M6" t="str">
        <v/>
      </c>
      <c r="N6" t="str">
        <v/>
      </c>
      <c r="O6">
        <v>0</v>
      </c>
    </row>
    <row r="7">
      <c r="A7">
        <v>15.98</v>
      </c>
      <c r="B7" t="str">
        <v>Mercado</v>
      </c>
      <c r="C7">
        <v>15.98</v>
      </c>
      <c r="D7" t="str">
        <v>Mercado</v>
      </c>
      <c r="E7">
        <v>15.98</v>
      </c>
      <c r="F7" t="str">
        <v>Mercado</v>
      </c>
      <c r="G7">
        <v>15.98</v>
      </c>
      <c r="H7" t="str">
        <v>Mercado</v>
      </c>
      <c r="I7">
        <v>15.98</v>
      </c>
      <c r="J7" t="str">
        <v>Mercado</v>
      </c>
      <c r="K7">
        <v>0</v>
      </c>
      <c r="L7" t="str">
        <v/>
      </c>
      <c r="M7" t="str">
        <v/>
      </c>
      <c r="N7" t="str">
        <v/>
      </c>
      <c r="O7">
        <v>0</v>
      </c>
    </row>
    <row r="8">
      <c r="A8">
        <v>7226.79</v>
      </c>
      <c r="B8" t="str">
        <v/>
      </c>
      <c r="C8">
        <v>7149.75</v>
      </c>
      <c r="D8" t="str">
        <v/>
      </c>
      <c r="E8">
        <v>6849.75</v>
      </c>
      <c r="F8" t="str">
        <v/>
      </c>
      <c r="G8">
        <v>7184.75</v>
      </c>
      <c r="H8" t="str">
        <v/>
      </c>
      <c r="I8">
        <v>7029.75</v>
      </c>
      <c r="J8" t="str">
        <v/>
      </c>
      <c r="K8">
        <v>0</v>
      </c>
      <c r="L8" t="str">
        <v/>
      </c>
      <c r="M8" t="str">
        <v/>
      </c>
      <c r="N8" t="str">
        <v/>
      </c>
      <c r="O8">
        <v>0</v>
      </c>
    </row>
  </sheetData>
  <ignoredErrors>
    <ignoredError numberStoredAsText="1" sqref="A1:O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FEV</v>
      </c>
    </row>
    <row r="2">
      <c r="A2">
        <v>3</v>
      </c>
      <c r="B2" t="str">
        <v>Descrição</v>
      </c>
      <c r="C2">
        <v>18</v>
      </c>
      <c r="D2" t="str">
        <v>Descrição</v>
      </c>
      <c r="E2">
        <v>19</v>
      </c>
      <c r="F2" t="str">
        <v>Descrição</v>
      </c>
      <c r="G2">
        <v>809</v>
      </c>
      <c r="H2" t="str">
        <v>Descrição</v>
      </c>
      <c r="I2">
        <v>812</v>
      </c>
      <c r="J2" t="str">
        <v>Descrição</v>
      </c>
      <c r="K2">
        <v>908</v>
      </c>
      <c r="L2" t="str">
        <v>Descrição</v>
      </c>
      <c r="M2">
        <v>1101</v>
      </c>
      <c r="N2" t="str">
        <v>Descrição</v>
      </c>
      <c r="O2">
        <v>1115</v>
      </c>
      <c r="P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30</v>
      </c>
      <c r="H3" t="str">
        <v>Amenitiz</v>
      </c>
      <c r="I3">
        <v>30</v>
      </c>
      <c r="J3" t="str">
        <v>Amenitiz</v>
      </c>
      <c r="K3">
        <v>30</v>
      </c>
      <c r="L3" t="str">
        <v>Amenitiz</v>
      </c>
      <c r="M3">
        <v>30</v>
      </c>
      <c r="N3" t="str">
        <v>Amenitiz</v>
      </c>
      <c r="O3">
        <v>30</v>
      </c>
      <c r="P3" t="str">
        <v>Amenitiz</v>
      </c>
    </row>
    <row r="4">
      <c r="A4">
        <v>4000</v>
      </c>
      <c r="B4" t="str">
        <v>Condomínio</v>
      </c>
      <c r="C4">
        <f>1424.89+2241.04</f>
        <v>3665.93</v>
      </c>
      <c r="D4" t="str">
        <v>Condomínio</v>
      </c>
      <c r="E4">
        <v>4300</v>
      </c>
      <c r="F4" t="str">
        <v>Condomínio</v>
      </c>
      <c r="G4">
        <v>4625.69</v>
      </c>
      <c r="H4" t="str">
        <v>Condomínio</v>
      </c>
      <c r="I4">
        <v>3872.31</v>
      </c>
      <c r="J4" t="str">
        <v>Condomínio</v>
      </c>
      <c r="K4">
        <v>4200</v>
      </c>
      <c r="L4" t="str">
        <v>Condomínio</v>
      </c>
      <c r="M4">
        <v>5000</v>
      </c>
      <c r="N4" t="str">
        <v>Condomínio</v>
      </c>
      <c r="O4">
        <f>1430.8+4230</f>
        <v>5660.8</v>
      </c>
      <c r="P4" t="str">
        <v>Condomínio</v>
      </c>
    </row>
    <row r="5">
      <c r="A5">
        <v>0</v>
      </c>
      <c r="B5" t="str">
        <v>Energia</v>
      </c>
      <c r="C5">
        <v>186.68</v>
      </c>
      <c r="D5" t="str">
        <v>Energia</v>
      </c>
      <c r="E5">
        <v>174.49</v>
      </c>
      <c r="F5" t="str">
        <v>Energia</v>
      </c>
      <c r="G5">
        <v>0</v>
      </c>
      <c r="H5" t="str">
        <v>Energia</v>
      </c>
      <c r="I5">
        <v>0</v>
      </c>
      <c r="J5" t="str">
        <v>Energia</v>
      </c>
      <c r="K5">
        <v>0</v>
      </c>
      <c r="L5" t="str">
        <v>Energia</v>
      </c>
      <c r="M5">
        <v>0</v>
      </c>
      <c r="N5" t="str">
        <v>Energia</v>
      </c>
      <c r="O5">
        <v>0</v>
      </c>
      <c r="P5" t="str">
        <v>Energia</v>
      </c>
    </row>
    <row r="6">
      <c r="A6">
        <v>0</v>
      </c>
      <c r="B6" t="str">
        <v>Condomínio</v>
      </c>
      <c r="C6">
        <v>0</v>
      </c>
      <c r="D6" t="str">
        <v>Condomínio</v>
      </c>
      <c r="E6">
        <v>0</v>
      </c>
      <c r="F6" t="str">
        <v>Condomínio</v>
      </c>
      <c r="G6">
        <v>0</v>
      </c>
      <c r="H6" t="str">
        <v>Condomínio</v>
      </c>
      <c r="I6">
        <v>0</v>
      </c>
      <c r="J6" t="str">
        <v>Condomínio</v>
      </c>
      <c r="K6">
        <v>0</v>
      </c>
      <c r="L6" t="str">
        <v>Condomínio</v>
      </c>
      <c r="M6">
        <v>0</v>
      </c>
      <c r="N6" t="str">
        <v>Condomínio</v>
      </c>
      <c r="O6">
        <v>0</v>
      </c>
      <c r="P6" t="str">
        <v>Condomínio</v>
      </c>
    </row>
    <row r="7">
      <c r="A7">
        <v>0</v>
      </c>
      <c r="B7" t="str">
        <v>Internet</v>
      </c>
      <c r="C7">
        <v>0</v>
      </c>
      <c r="D7" t="str">
        <v>Internet</v>
      </c>
      <c r="E7">
        <v>0</v>
      </c>
      <c r="F7" t="str">
        <v>Internet</v>
      </c>
      <c r="G7">
        <v>0</v>
      </c>
      <c r="H7" t="str">
        <v>Internet</v>
      </c>
      <c r="I7">
        <v>0</v>
      </c>
      <c r="J7" t="str">
        <v>Internet</v>
      </c>
      <c r="K7">
        <v>0</v>
      </c>
      <c r="L7" t="str">
        <v>Internet</v>
      </c>
      <c r="M7">
        <v>0</v>
      </c>
      <c r="N7" t="str">
        <v>Internet</v>
      </c>
      <c r="O7">
        <v>0</v>
      </c>
      <c r="P7" t="str">
        <v>Internet</v>
      </c>
    </row>
    <row r="8">
      <c r="A8">
        <v>213.77</v>
      </c>
      <c r="B8" t="str">
        <v>Lavanderia</v>
      </c>
      <c r="C8">
        <v>213.77</v>
      </c>
      <c r="D8" t="str">
        <v>Lavanderia</v>
      </c>
      <c r="E8">
        <v>213.77</v>
      </c>
      <c r="F8" t="str">
        <v>Lavanderia</v>
      </c>
      <c r="G8">
        <v>213.77</v>
      </c>
      <c r="H8" t="str">
        <v>Lavanderia</v>
      </c>
      <c r="I8">
        <v>213.77</v>
      </c>
      <c r="J8" t="str">
        <v>Lavanderia</v>
      </c>
      <c r="K8">
        <v>213.77</v>
      </c>
      <c r="L8" t="str">
        <v>Lavanderia</v>
      </c>
      <c r="M8">
        <v>213.77</v>
      </c>
      <c r="N8" t="str">
        <v>Lavanderia</v>
      </c>
      <c r="O8">
        <v>213.77</v>
      </c>
      <c r="P8" t="str">
        <v>Lavanderia</v>
      </c>
    </row>
    <row r="9">
      <c r="A9">
        <v>90</v>
      </c>
      <c r="B9" t="str">
        <v>Manutenção</v>
      </c>
      <c r="C9">
        <v>90</v>
      </c>
      <c r="D9" t="str">
        <v>Manutenção</v>
      </c>
      <c r="E9">
        <v>90</v>
      </c>
      <c r="F9" t="str">
        <v>Manutenção</v>
      </c>
      <c r="G9">
        <v>90</v>
      </c>
      <c r="H9" t="str">
        <v>Manutenção</v>
      </c>
      <c r="I9">
        <v>90</v>
      </c>
      <c r="J9" t="str">
        <v>Manutenção</v>
      </c>
      <c r="K9">
        <v>90</v>
      </c>
      <c r="L9" t="str">
        <v>Manutenção</v>
      </c>
      <c r="M9">
        <v>90</v>
      </c>
      <c r="N9" t="str">
        <v>Manutenção</v>
      </c>
      <c r="O9">
        <v>90</v>
      </c>
      <c r="P9" t="str">
        <v>Manutenção</v>
      </c>
    </row>
    <row r="10">
      <c r="A10">
        <v>123.76</v>
      </c>
      <c r="B10" t="str">
        <v>Mercado</v>
      </c>
      <c r="C10">
        <v>123.76</v>
      </c>
      <c r="D10" t="str">
        <v>Mercado</v>
      </c>
      <c r="E10">
        <v>123.76</v>
      </c>
      <c r="F10" t="str">
        <v>Mercado</v>
      </c>
      <c r="G10">
        <v>123.76</v>
      </c>
      <c r="H10" t="str">
        <v>Mercado</v>
      </c>
      <c r="I10">
        <v>123.76</v>
      </c>
      <c r="J10" t="str">
        <v>Mercado</v>
      </c>
      <c r="K10">
        <v>123.76</v>
      </c>
      <c r="L10" t="str">
        <v>Mercado</v>
      </c>
      <c r="M10">
        <v>123.76</v>
      </c>
      <c r="N10" t="str">
        <v>Mercado</v>
      </c>
      <c r="O10">
        <v>123.76</v>
      </c>
      <c r="P10" t="str">
        <v>Mercado</v>
      </c>
    </row>
    <row r="11">
      <c r="A11">
        <v>0</v>
      </c>
      <c r="C11">
        <v>0</v>
      </c>
      <c r="E11">
        <v>0</v>
      </c>
      <c r="G11">
        <v>0</v>
      </c>
      <c r="I11">
        <v>0</v>
      </c>
      <c r="K11">
        <v>0</v>
      </c>
      <c r="M11">
        <v>0</v>
      </c>
      <c r="O11">
        <v>0</v>
      </c>
    </row>
    <row r="12">
      <c r="A12">
        <v>0</v>
      </c>
      <c r="C12">
        <v>0</v>
      </c>
      <c r="E12">
        <v>0</v>
      </c>
      <c r="G12">
        <v>0</v>
      </c>
      <c r="I12">
        <v>0</v>
      </c>
      <c r="K12">
        <v>0</v>
      </c>
      <c r="M12">
        <v>0</v>
      </c>
      <c r="O12">
        <v>0</v>
      </c>
    </row>
    <row r="13">
      <c r="A13">
        <v>0</v>
      </c>
      <c r="C13">
        <v>0</v>
      </c>
      <c r="E13">
        <v>0</v>
      </c>
      <c r="G13">
        <v>0</v>
      </c>
      <c r="I13">
        <v>0</v>
      </c>
      <c r="K13">
        <v>0</v>
      </c>
      <c r="M13">
        <v>0</v>
      </c>
      <c r="O13">
        <v>0</v>
      </c>
    </row>
    <row r="14">
      <c r="A14">
        <v>0</v>
      </c>
      <c r="C14">
        <v>0</v>
      </c>
      <c r="E14">
        <v>0</v>
      </c>
      <c r="G14">
        <v>0</v>
      </c>
      <c r="I14">
        <v>0</v>
      </c>
      <c r="K14">
        <v>0</v>
      </c>
      <c r="M14">
        <v>0</v>
      </c>
      <c r="O14">
        <v>0</v>
      </c>
    </row>
    <row r="15">
      <c r="A15">
        <v>0</v>
      </c>
      <c r="C15">
        <v>0</v>
      </c>
      <c r="E15">
        <v>0</v>
      </c>
      <c r="G15">
        <v>0</v>
      </c>
      <c r="I15">
        <v>0</v>
      </c>
      <c r="K15">
        <v>0</v>
      </c>
      <c r="M15">
        <v>0</v>
      </c>
      <c r="O15">
        <v>0</v>
      </c>
    </row>
    <row r="16">
      <c r="A16">
        <v>0</v>
      </c>
      <c r="C16">
        <v>0</v>
      </c>
      <c r="E16">
        <v>0</v>
      </c>
      <c r="G16">
        <v>0</v>
      </c>
      <c r="I16">
        <v>0</v>
      </c>
      <c r="K16">
        <v>0</v>
      </c>
      <c r="M16">
        <v>0</v>
      </c>
      <c r="O16">
        <v>0</v>
      </c>
    </row>
    <row r="17">
      <c r="A17">
        <v>0</v>
      </c>
      <c r="C17">
        <v>0</v>
      </c>
      <c r="E17">
        <v>0</v>
      </c>
      <c r="G17">
        <v>0</v>
      </c>
      <c r="I17">
        <v>0</v>
      </c>
      <c r="K17">
        <v>0</v>
      </c>
      <c r="M17">
        <v>0</v>
      </c>
      <c r="O17">
        <v>0</v>
      </c>
    </row>
    <row r="18">
      <c r="A18">
        <v>0</v>
      </c>
      <c r="C18">
        <v>0</v>
      </c>
      <c r="E18">
        <v>0</v>
      </c>
      <c r="G18">
        <v>0</v>
      </c>
      <c r="I18">
        <v>0</v>
      </c>
      <c r="K18">
        <v>0</v>
      </c>
      <c r="M18">
        <v>0</v>
      </c>
      <c r="O18">
        <v>0</v>
      </c>
    </row>
    <row r="19">
      <c r="A19">
        <v>0</v>
      </c>
      <c r="C19">
        <v>0</v>
      </c>
      <c r="E19">
        <v>0</v>
      </c>
      <c r="G19">
        <v>0</v>
      </c>
      <c r="I19">
        <v>0</v>
      </c>
      <c r="K19">
        <v>0</v>
      </c>
      <c r="M19">
        <v>0</v>
      </c>
      <c r="O19">
        <v>0</v>
      </c>
    </row>
    <row r="20">
      <c r="A20">
        <v>0</v>
      </c>
      <c r="C20">
        <v>0</v>
      </c>
      <c r="E20">
        <v>0</v>
      </c>
      <c r="G20">
        <v>0</v>
      </c>
      <c r="I20">
        <v>0</v>
      </c>
      <c r="K20">
        <v>0</v>
      </c>
      <c r="M20">
        <v>0</v>
      </c>
      <c r="O20">
        <v>0</v>
      </c>
    </row>
    <row r="21">
      <c r="A21">
        <v>0</v>
      </c>
      <c r="C21">
        <v>0</v>
      </c>
      <c r="E21">
        <v>0</v>
      </c>
      <c r="G21">
        <v>0</v>
      </c>
      <c r="I21">
        <v>0</v>
      </c>
      <c r="K21">
        <v>0</v>
      </c>
      <c r="M21">
        <v>0</v>
      </c>
      <c r="O21">
        <v>0</v>
      </c>
    </row>
    <row r="22">
      <c r="A22">
        <v>0</v>
      </c>
      <c r="C22">
        <v>0</v>
      </c>
      <c r="E22">
        <v>0</v>
      </c>
      <c r="G22">
        <v>0</v>
      </c>
      <c r="I22">
        <v>0</v>
      </c>
      <c r="K22">
        <v>0</v>
      </c>
      <c r="M22">
        <v>0</v>
      </c>
      <c r="O22">
        <v>0</v>
      </c>
    </row>
    <row r="23">
      <c r="A23">
        <v>0</v>
      </c>
      <c r="C23">
        <v>0</v>
      </c>
      <c r="E23">
        <v>0</v>
      </c>
      <c r="G23">
        <v>0</v>
      </c>
      <c r="I23">
        <v>0</v>
      </c>
      <c r="K23">
        <v>0</v>
      </c>
      <c r="M23">
        <v>0</v>
      </c>
      <c r="O23">
        <v>0</v>
      </c>
    </row>
    <row r="24">
      <c r="A24">
        <v>0</v>
      </c>
      <c r="C24">
        <v>0</v>
      </c>
      <c r="E24">
        <v>0</v>
      </c>
      <c r="G24">
        <v>0</v>
      </c>
      <c r="I24">
        <v>0</v>
      </c>
      <c r="K24">
        <v>0</v>
      </c>
      <c r="M24">
        <v>0</v>
      </c>
      <c r="O24">
        <v>0</v>
      </c>
    </row>
    <row r="25">
      <c r="A25">
        <v>0</v>
      </c>
      <c r="C25">
        <v>0</v>
      </c>
      <c r="E25">
        <v>0</v>
      </c>
      <c r="G25">
        <v>0</v>
      </c>
      <c r="I25">
        <v>0</v>
      </c>
      <c r="K25">
        <v>0</v>
      </c>
      <c r="M25">
        <v>0</v>
      </c>
      <c r="O25">
        <v>0</v>
      </c>
    </row>
    <row r="26">
      <c r="A26">
        <v>0</v>
      </c>
      <c r="C26">
        <v>0</v>
      </c>
      <c r="E26">
        <v>0</v>
      </c>
      <c r="G26">
        <v>0</v>
      </c>
      <c r="I26">
        <v>0</v>
      </c>
      <c r="K26">
        <v>0</v>
      </c>
      <c r="M26">
        <v>0</v>
      </c>
      <c r="O26">
        <v>0</v>
      </c>
    </row>
    <row r="27">
      <c r="A27">
        <v>0</v>
      </c>
      <c r="C27">
        <v>0</v>
      </c>
      <c r="E27">
        <v>0</v>
      </c>
      <c r="G27">
        <v>0</v>
      </c>
      <c r="I27">
        <v>0</v>
      </c>
      <c r="K27">
        <v>0</v>
      </c>
      <c r="M27">
        <v>0</v>
      </c>
      <c r="O27">
        <v>0</v>
      </c>
    </row>
    <row r="28">
      <c r="A28">
        <v>0</v>
      </c>
      <c r="C28">
        <v>0</v>
      </c>
      <c r="E28">
        <v>0</v>
      </c>
      <c r="G28">
        <v>0</v>
      </c>
      <c r="I28">
        <v>0</v>
      </c>
      <c r="K28">
        <v>0</v>
      </c>
      <c r="M28">
        <v>0</v>
      </c>
      <c r="O28">
        <v>0</v>
      </c>
    </row>
    <row r="29">
      <c r="A29">
        <v>0</v>
      </c>
      <c r="C29">
        <v>0</v>
      </c>
      <c r="E29">
        <v>0</v>
      </c>
      <c r="G29">
        <v>0</v>
      </c>
      <c r="I29">
        <v>0</v>
      </c>
      <c r="K29">
        <v>0</v>
      </c>
      <c r="M29">
        <v>0</v>
      </c>
      <c r="O29">
        <v>0</v>
      </c>
    </row>
    <row r="30">
      <c r="A30">
        <f>SUM(A3:A29)</f>
        <v>4457.53</v>
      </c>
      <c r="C30">
        <f>SUM(C3:C29)</f>
        <v>4310.14</v>
      </c>
      <c r="E30">
        <f>SUM(E3:E29)</f>
        <v>4932.02</v>
      </c>
      <c r="G30">
        <f>SUM(G3:G29)</f>
        <v>5083.22</v>
      </c>
      <c r="I30">
        <f>SUM(I3:I29)</f>
        <v>4329.84</v>
      </c>
      <c r="K30">
        <f>SUM(K3:K29)</f>
        <v>4657.53</v>
      </c>
      <c r="M30">
        <f>SUM(M3:M29)</f>
        <v>5457.53</v>
      </c>
      <c r="O30">
        <f>SUM(O3:O29)</f>
        <v>6118.33</v>
      </c>
    </row>
    <row r="31">
      <c r="A31" t="str">
        <v>TOTAL:</v>
      </c>
      <c r="B31">
        <f>A30+C30+E30+G30+K30+O30</f>
        <v>29558.77</v>
      </c>
    </row>
    <row r="32">
      <c r="O32">
        <v>5786.33</v>
      </c>
    </row>
    <row r="33">
      <c r="C33">
        <v>4196.99</v>
      </c>
    </row>
    <row r="34">
      <c r="A34">
        <v>4386.33</v>
      </c>
    </row>
  </sheetData>
  <mergeCells count="2">
    <mergeCell ref="A1:Q1"/>
    <mergeCell ref="B31:O31"/>
  </mergeCells>
  <ignoredErrors>
    <ignoredError numberStoredAsText="1" sqref="A1:P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FEV</v>
      </c>
    </row>
    <row r="2">
      <c r="A2">
        <v>19</v>
      </c>
      <c r="B2" t="str">
        <v>Descrição</v>
      </c>
      <c r="C2">
        <v>803</v>
      </c>
      <c r="D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</row>
    <row r="4">
      <c r="A4">
        <v>3800</v>
      </c>
      <c r="B4" t="str">
        <v>Condomínio</v>
      </c>
      <c r="C4">
        <v>2500</v>
      </c>
      <c r="D4" t="str">
        <v>Condomínio</v>
      </c>
    </row>
    <row r="5">
      <c r="A5">
        <v>0</v>
      </c>
      <c r="B5" t="str">
        <v>Energia</v>
      </c>
      <c r="C5">
        <v>0</v>
      </c>
      <c r="D5" t="str">
        <v>Energia</v>
      </c>
    </row>
    <row r="6">
      <c r="A6">
        <v>0</v>
      </c>
      <c r="B6" t="str">
        <v>Condomínio</v>
      </c>
      <c r="C6">
        <v>0</v>
      </c>
      <c r="D6" t="str">
        <v>Condomínio</v>
      </c>
    </row>
    <row r="7">
      <c r="A7">
        <v>0</v>
      </c>
      <c r="B7" t="str">
        <v>Internet</v>
      </c>
      <c r="C7">
        <v>0</v>
      </c>
      <c r="D7" t="str">
        <v>Internet</v>
      </c>
    </row>
    <row r="8">
      <c r="A8">
        <v>213.77</v>
      </c>
      <c r="B8" t="str">
        <v>Lavanderia</v>
      </c>
      <c r="C8">
        <v>213.77</v>
      </c>
      <c r="D8" t="str">
        <v>Lavanderia</v>
      </c>
    </row>
    <row r="9">
      <c r="A9">
        <v>90</v>
      </c>
      <c r="B9" t="str">
        <v>Manutenção</v>
      </c>
      <c r="C9">
        <v>90</v>
      </c>
      <c r="D9" t="str">
        <v>Manutenção</v>
      </c>
    </row>
    <row r="10">
      <c r="A10">
        <v>80.65</v>
      </c>
      <c r="B10" t="str">
        <v>Mercado</v>
      </c>
      <c r="C10">
        <v>80.65</v>
      </c>
      <c r="D10" t="str">
        <v>Mercado</v>
      </c>
    </row>
    <row r="11">
      <c r="A11">
        <v>0</v>
      </c>
      <c r="C11">
        <v>0</v>
      </c>
    </row>
    <row r="12">
      <c r="A12">
        <v>0</v>
      </c>
      <c r="C12">
        <v>0</v>
      </c>
    </row>
    <row r="13">
      <c r="A13">
        <v>0</v>
      </c>
      <c r="C13">
        <v>0</v>
      </c>
    </row>
    <row r="14">
      <c r="A14">
        <v>0</v>
      </c>
      <c r="C14">
        <v>0</v>
      </c>
    </row>
    <row r="15">
      <c r="A15">
        <v>0</v>
      </c>
      <c r="C15">
        <v>0</v>
      </c>
    </row>
    <row r="16">
      <c r="A16">
        <v>0</v>
      </c>
      <c r="C16">
        <v>0</v>
      </c>
    </row>
    <row r="17">
      <c r="A17">
        <v>0</v>
      </c>
      <c r="C17">
        <v>0</v>
      </c>
    </row>
    <row r="18">
      <c r="A18">
        <v>0</v>
      </c>
      <c r="C18">
        <v>0</v>
      </c>
    </row>
    <row r="19">
      <c r="A19">
        <v>0</v>
      </c>
      <c r="C19">
        <v>0</v>
      </c>
    </row>
    <row r="20">
      <c r="A20">
        <v>0</v>
      </c>
      <c r="C20">
        <v>0</v>
      </c>
    </row>
    <row r="21">
      <c r="A21">
        <v>0</v>
      </c>
      <c r="C21">
        <v>0</v>
      </c>
    </row>
    <row r="22">
      <c r="A22">
        <v>0</v>
      </c>
      <c r="C22">
        <v>0</v>
      </c>
    </row>
    <row r="23">
      <c r="A23">
        <v>0</v>
      </c>
      <c r="C23">
        <v>0</v>
      </c>
    </row>
    <row r="24">
      <c r="A24">
        <v>0</v>
      </c>
      <c r="C24">
        <v>0</v>
      </c>
    </row>
    <row r="25">
      <c r="A25">
        <v>0</v>
      </c>
      <c r="C25">
        <v>0</v>
      </c>
    </row>
    <row r="26">
      <c r="A26">
        <v>0</v>
      </c>
      <c r="C26">
        <v>0</v>
      </c>
    </row>
    <row r="27">
      <c r="A27">
        <v>0</v>
      </c>
      <c r="C27">
        <v>0</v>
      </c>
    </row>
    <row r="28">
      <c r="A28">
        <v>0</v>
      </c>
      <c r="C28">
        <v>0</v>
      </c>
    </row>
    <row r="29">
      <c r="A29">
        <v>0</v>
      </c>
      <c r="C29">
        <v>0</v>
      </c>
    </row>
    <row r="30">
      <c r="A30">
        <f>SUM(A3:A29)</f>
        <v>4214.42</v>
      </c>
      <c r="C30">
        <f>SUM(C3:C29)</f>
        <v>2914.42</v>
      </c>
    </row>
    <row r="31">
      <c r="A31" t="str">
        <v>TOTAL:</v>
      </c>
      <c r="B31">
        <f>A30+C30+E30+G30+I30+K30</f>
        <v>7128.84</v>
      </c>
    </row>
  </sheetData>
  <mergeCells count="2">
    <mergeCell ref="A1:K1"/>
    <mergeCell ref="B31:K31"/>
  </mergeCells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FEV</v>
      </c>
    </row>
    <row r="2">
      <c r="A2">
        <v>220</v>
      </c>
      <c r="B2" t="str">
        <v>Descrição</v>
      </c>
      <c r="C2" t="str">
        <v>-</v>
      </c>
      <c r="D2" t="str">
        <v>Descrição</v>
      </c>
      <c r="E2" t="str">
        <v>-</v>
      </c>
      <c r="F2" t="str">
        <v>Descrição</v>
      </c>
    </row>
    <row r="3">
      <c r="A3">
        <v>30</v>
      </c>
      <c r="B3" t="str">
        <v>Amenitiz</v>
      </c>
      <c r="C3">
        <v>0</v>
      </c>
      <c r="D3" t="str">
        <v>Amenitiz</v>
      </c>
      <c r="E3">
        <v>0</v>
      </c>
      <c r="F3" t="str">
        <v>Amenitiz</v>
      </c>
    </row>
    <row r="4">
      <c r="A4">
        <v>2500</v>
      </c>
      <c r="B4" t="str">
        <v>Condomínio</v>
      </c>
      <c r="C4">
        <v>0</v>
      </c>
      <c r="D4" t="str">
        <v>Condomínio</v>
      </c>
      <c r="E4">
        <v>0</v>
      </c>
      <c r="F4" t="str">
        <v>Condomínio</v>
      </c>
    </row>
    <row r="5">
      <c r="A5">
        <v>213.77</v>
      </c>
      <c r="B5" t="str">
        <v>Lavanderia</v>
      </c>
      <c r="C5">
        <v>0</v>
      </c>
      <c r="D5" t="str">
        <v>Lavanderia</v>
      </c>
      <c r="E5">
        <v>0</v>
      </c>
      <c r="F5" t="str">
        <v>Lavanderia</v>
      </c>
    </row>
    <row r="6">
      <c r="A6">
        <v>90</v>
      </c>
      <c r="B6" t="str">
        <v>Manutenção</v>
      </c>
      <c r="C6">
        <v>0</v>
      </c>
      <c r="D6" t="str">
        <v>Manutenção</v>
      </c>
      <c r="E6">
        <v>0</v>
      </c>
      <c r="F6" t="str">
        <v>Manutenção</v>
      </c>
    </row>
    <row r="7">
      <c r="A7">
        <v>80.65</v>
      </c>
      <c r="B7" t="str">
        <v>Mercado</v>
      </c>
      <c r="C7">
        <v>0</v>
      </c>
      <c r="D7" t="str">
        <v>Mercado</v>
      </c>
      <c r="E7">
        <v>0</v>
      </c>
      <c r="F7" t="str">
        <v>Mercado</v>
      </c>
    </row>
    <row r="8">
      <c r="A8">
        <v>2914.42</v>
      </c>
      <c r="B8" t="str">
        <v/>
      </c>
      <c r="C8">
        <v>0</v>
      </c>
      <c r="D8" t="str">
        <v/>
      </c>
      <c r="E8">
        <v>0</v>
      </c>
      <c r="F8" t="str">
        <v/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FEV</v>
      </c>
    </row>
    <row r="2">
      <c r="A2">
        <v>412</v>
      </c>
      <c r="B2" t="str">
        <v>Descrição</v>
      </c>
      <c r="C2">
        <v>1709</v>
      </c>
      <c r="D2" t="str">
        <v>Descrição</v>
      </c>
      <c r="E2" t="str">
        <v>-</v>
      </c>
      <c r="F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0</v>
      </c>
      <c r="F3" t="str">
        <v>Amenitiz</v>
      </c>
    </row>
    <row r="4">
      <c r="A4">
        <v>3700</v>
      </c>
      <c r="B4" t="str">
        <v>Condomínio</v>
      </c>
      <c r="C4">
        <v>4000</v>
      </c>
      <c r="D4" t="str">
        <v>Condomínio</v>
      </c>
      <c r="E4">
        <v>0</v>
      </c>
      <c r="F4" t="str">
        <v>Condomínio</v>
      </c>
    </row>
    <row r="5">
      <c r="A5">
        <v>213.77</v>
      </c>
      <c r="B5" t="str">
        <v>Lavanderia</v>
      </c>
      <c r="C5">
        <v>213.77</v>
      </c>
      <c r="D5" t="str">
        <v>Lavanderia</v>
      </c>
      <c r="E5">
        <v>0</v>
      </c>
      <c r="F5" t="str">
        <v>Lavanderia</v>
      </c>
    </row>
    <row r="6">
      <c r="A6">
        <v>90</v>
      </c>
      <c r="B6" t="str">
        <v>Manutenção</v>
      </c>
      <c r="C6">
        <v>90</v>
      </c>
      <c r="D6" t="str">
        <v>Manutenção</v>
      </c>
      <c r="E6">
        <v>0</v>
      </c>
      <c r="F6" t="str">
        <v>Manutenção</v>
      </c>
    </row>
    <row r="7">
      <c r="A7">
        <v>80.65</v>
      </c>
      <c r="B7" t="str">
        <v>Mercado</v>
      </c>
      <c r="C7">
        <v>80.65</v>
      </c>
      <c r="D7" t="str">
        <v>Mercado</v>
      </c>
      <c r="E7">
        <v>0</v>
      </c>
      <c r="F7" t="str">
        <v>Mercado</v>
      </c>
    </row>
    <row r="8">
      <c r="A8">
        <v>4114.42</v>
      </c>
      <c r="B8" t="str">
        <v/>
      </c>
      <c r="C8">
        <v>4414.42</v>
      </c>
      <c r="D8" t="str">
        <v/>
      </c>
      <c r="E8">
        <v>0</v>
      </c>
      <c r="F8" t="str">
        <v/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FEV</v>
      </c>
    </row>
    <row r="2">
      <c r="A2" t="str">
        <v>1214A</v>
      </c>
      <c r="B2" t="str">
        <v>Descrição</v>
      </c>
      <c r="C2" t="str">
        <v>-</v>
      </c>
      <c r="D2" t="str">
        <v>Descrição</v>
      </c>
      <c r="E2" t="str">
        <v>-</v>
      </c>
      <c r="F2" t="str">
        <v>Descrição</v>
      </c>
      <c r="G2" t="str">
        <v>-</v>
      </c>
      <c r="H2" t="str">
        <v>Descrição</v>
      </c>
      <c r="I2" t="str">
        <v>-</v>
      </c>
      <c r="J2" t="str">
        <v>Descrição</v>
      </c>
      <c r="K2" t="str">
        <v>-</v>
      </c>
      <c r="L2" t="str">
        <v>Descrição</v>
      </c>
      <c r="M2" t="str">
        <v>-</v>
      </c>
      <c r="N2" t="str">
        <v>Descrição</v>
      </c>
    </row>
    <row r="3">
      <c r="A3">
        <v>30</v>
      </c>
      <c r="B3" t="str">
        <v>Amenitiz</v>
      </c>
      <c r="C3">
        <v>0</v>
      </c>
      <c r="D3" t="str">
        <v>Amenitiz</v>
      </c>
      <c r="E3">
        <v>0</v>
      </c>
      <c r="F3" t="str">
        <v>Amenitiz</v>
      </c>
      <c r="G3">
        <v>0</v>
      </c>
      <c r="H3" t="str">
        <v>Amenitiz</v>
      </c>
      <c r="I3">
        <v>0</v>
      </c>
      <c r="J3" t="str">
        <v>Amenitiz</v>
      </c>
      <c r="K3">
        <v>0</v>
      </c>
      <c r="L3" t="str">
        <v>Amenitiz</v>
      </c>
      <c r="M3">
        <v>0</v>
      </c>
      <c r="N3" t="str">
        <v>Amenitiz</v>
      </c>
    </row>
    <row r="4">
      <c r="A4">
        <v>2720.85</v>
      </c>
      <c r="B4" t="str">
        <v>Condomínio</v>
      </c>
      <c r="C4">
        <v>0</v>
      </c>
      <c r="D4" t="str">
        <v>Condomínio</v>
      </c>
      <c r="E4">
        <v>0</v>
      </c>
      <c r="F4" t="str">
        <v>Condomínio</v>
      </c>
      <c r="G4">
        <v>0</v>
      </c>
      <c r="H4" t="str">
        <v>Condomínio</v>
      </c>
      <c r="I4">
        <v>0</v>
      </c>
      <c r="J4" t="str">
        <v>Condomínio</v>
      </c>
      <c r="K4">
        <v>0</v>
      </c>
      <c r="L4" t="str">
        <v>Condomínio</v>
      </c>
      <c r="M4">
        <v>0</v>
      </c>
      <c r="N4" t="str">
        <v>Condomínio</v>
      </c>
    </row>
    <row r="5">
      <c r="A5">
        <v>0</v>
      </c>
      <c r="B5" t="str">
        <v>Energia</v>
      </c>
      <c r="C5">
        <v>0</v>
      </c>
      <c r="D5" t="str">
        <v>Energia</v>
      </c>
      <c r="E5">
        <v>0</v>
      </c>
      <c r="F5" t="str">
        <v>Energia</v>
      </c>
      <c r="G5">
        <v>0</v>
      </c>
      <c r="H5" t="str">
        <v>Energia</v>
      </c>
      <c r="I5">
        <v>0</v>
      </c>
      <c r="J5" t="str">
        <v>Energia</v>
      </c>
      <c r="K5">
        <v>0</v>
      </c>
      <c r="L5" t="str">
        <v>Energia</v>
      </c>
      <c r="M5">
        <v>0</v>
      </c>
      <c r="N5" t="str">
        <v>Energia</v>
      </c>
    </row>
    <row r="6">
      <c r="A6">
        <v>0</v>
      </c>
      <c r="B6" t="str">
        <v>Condomínio</v>
      </c>
      <c r="C6">
        <v>0</v>
      </c>
      <c r="D6" t="str">
        <v>Gás</v>
      </c>
      <c r="E6">
        <v>0</v>
      </c>
      <c r="F6" t="str">
        <v>Gás</v>
      </c>
      <c r="G6">
        <v>0</v>
      </c>
      <c r="H6" t="str">
        <v>Gás</v>
      </c>
      <c r="I6">
        <v>0</v>
      </c>
      <c r="J6" t="str">
        <v>Gás</v>
      </c>
      <c r="K6">
        <v>0</v>
      </c>
      <c r="L6" t="str">
        <v>Gás</v>
      </c>
      <c r="M6">
        <v>0</v>
      </c>
      <c r="N6" t="str">
        <v>Gás</v>
      </c>
    </row>
    <row r="7">
      <c r="A7">
        <v>0</v>
      </c>
      <c r="B7" t="str">
        <v>Internet</v>
      </c>
      <c r="C7">
        <v>0</v>
      </c>
      <c r="D7" t="str">
        <v>Internet</v>
      </c>
      <c r="E7">
        <v>0</v>
      </c>
      <c r="F7" t="str">
        <v>Internet</v>
      </c>
      <c r="G7">
        <v>0</v>
      </c>
      <c r="H7" t="str">
        <v>Internet</v>
      </c>
      <c r="I7">
        <v>0</v>
      </c>
      <c r="J7" t="str">
        <v>Internet</v>
      </c>
      <c r="K7">
        <v>0</v>
      </c>
      <c r="L7" t="str">
        <v>Internet</v>
      </c>
      <c r="M7">
        <v>0</v>
      </c>
      <c r="N7" t="str">
        <v>Internet</v>
      </c>
    </row>
    <row r="8">
      <c r="A8">
        <v>213.77</v>
      </c>
      <c r="B8" t="str">
        <v>Lavanderia</v>
      </c>
      <c r="C8">
        <v>0</v>
      </c>
      <c r="D8" t="str">
        <v>IPTU</v>
      </c>
      <c r="E8">
        <v>0</v>
      </c>
      <c r="F8" t="str">
        <v>IPTU</v>
      </c>
      <c r="G8">
        <v>0</v>
      </c>
      <c r="H8" t="str">
        <v>IPTU</v>
      </c>
      <c r="I8">
        <v>0</v>
      </c>
      <c r="J8" t="str">
        <v>IPTU</v>
      </c>
      <c r="K8">
        <v>0</v>
      </c>
      <c r="L8" t="str">
        <v>IPTU</v>
      </c>
      <c r="M8">
        <v>0</v>
      </c>
      <c r="N8" t="str">
        <v>IPTU</v>
      </c>
    </row>
    <row r="9">
      <c r="A9">
        <v>90</v>
      </c>
      <c r="B9" t="str">
        <v>Manutenção</v>
      </c>
      <c r="C9">
        <v>0</v>
      </c>
      <c r="D9" t="str">
        <v>Lavanderia</v>
      </c>
      <c r="E9">
        <v>0</v>
      </c>
      <c r="F9" t="str">
        <v>Lavanderia</v>
      </c>
      <c r="G9">
        <v>0</v>
      </c>
      <c r="H9" t="str">
        <v>Lavanderia</v>
      </c>
      <c r="I9">
        <v>0</v>
      </c>
      <c r="J9" t="str">
        <v>Lavanderia</v>
      </c>
      <c r="K9">
        <v>0</v>
      </c>
      <c r="L9" t="str">
        <v>Lavanderia</v>
      </c>
      <c r="M9">
        <v>0</v>
      </c>
      <c r="N9" t="str">
        <v>Lavanderia</v>
      </c>
    </row>
    <row r="10">
      <c r="A10">
        <v>120.19</v>
      </c>
      <c r="B10" t="str">
        <v>Mercado</v>
      </c>
      <c r="C10">
        <v>0</v>
      </c>
      <c r="D10" t="str">
        <v>Manutenção</v>
      </c>
      <c r="E10">
        <v>0</v>
      </c>
      <c r="F10" t="str">
        <v>Manutenção</v>
      </c>
      <c r="G10">
        <v>0</v>
      </c>
      <c r="H10" t="str">
        <v>Manutenção</v>
      </c>
      <c r="I10">
        <v>0</v>
      </c>
      <c r="J10" t="str">
        <v>Manutenção</v>
      </c>
      <c r="K10">
        <v>0</v>
      </c>
      <c r="L10" t="str">
        <v>Manutenção</v>
      </c>
      <c r="M10">
        <v>0</v>
      </c>
      <c r="N10" t="str">
        <v>Manutenção</v>
      </c>
    </row>
    <row r="11">
      <c r="A11">
        <v>0</v>
      </c>
      <c r="C11">
        <v>0</v>
      </c>
      <c r="E11">
        <v>0</v>
      </c>
      <c r="G11">
        <v>0</v>
      </c>
      <c r="I11">
        <v>0</v>
      </c>
      <c r="K11">
        <v>0</v>
      </c>
      <c r="M11">
        <v>0</v>
      </c>
      <c r="N11" t="str">
        <v>Seguro</v>
      </c>
    </row>
    <row r="12">
      <c r="A12">
        <v>0</v>
      </c>
      <c r="C12">
        <v>0</v>
      </c>
      <c r="E12">
        <v>0</v>
      </c>
      <c r="G12">
        <v>0</v>
      </c>
      <c r="I12">
        <v>0</v>
      </c>
      <c r="K12">
        <v>0</v>
      </c>
      <c r="M12">
        <v>0</v>
      </c>
      <c r="N12" t="str">
        <v>Mercado</v>
      </c>
    </row>
    <row r="13">
      <c r="A13">
        <v>0</v>
      </c>
      <c r="C13">
        <v>0</v>
      </c>
      <c r="E13">
        <v>0</v>
      </c>
      <c r="G13">
        <v>0</v>
      </c>
      <c r="I13">
        <v>0</v>
      </c>
      <c r="K13">
        <v>0</v>
      </c>
      <c r="M13">
        <v>0</v>
      </c>
      <c r="N13" t="str">
        <v>enxoval</v>
      </c>
    </row>
    <row r="14">
      <c r="A14">
        <v>0</v>
      </c>
      <c r="C14">
        <v>0</v>
      </c>
      <c r="E14">
        <v>0</v>
      </c>
      <c r="G14">
        <v>0</v>
      </c>
      <c r="I14">
        <v>0</v>
      </c>
      <c r="K14">
        <v>0</v>
      </c>
      <c r="M14">
        <v>0</v>
      </c>
    </row>
    <row r="15">
      <c r="A15">
        <v>0</v>
      </c>
      <c r="C15">
        <v>0</v>
      </c>
      <c r="E15">
        <v>0</v>
      </c>
      <c r="G15">
        <v>0</v>
      </c>
      <c r="I15">
        <v>0</v>
      </c>
      <c r="K15">
        <v>0</v>
      </c>
      <c r="M15">
        <v>0</v>
      </c>
    </row>
    <row r="16">
      <c r="A16">
        <v>0</v>
      </c>
      <c r="C16">
        <v>0</v>
      </c>
      <c r="E16">
        <v>0</v>
      </c>
      <c r="G16">
        <v>0</v>
      </c>
      <c r="I16">
        <v>0</v>
      </c>
      <c r="K16">
        <v>0</v>
      </c>
      <c r="M16">
        <v>0</v>
      </c>
    </row>
    <row r="17">
      <c r="A17">
        <v>0</v>
      </c>
      <c r="C17">
        <v>0</v>
      </c>
      <c r="E17">
        <v>0</v>
      </c>
      <c r="G17">
        <v>0</v>
      </c>
      <c r="I17">
        <v>0</v>
      </c>
      <c r="K17">
        <v>0</v>
      </c>
      <c r="M17">
        <v>0</v>
      </c>
    </row>
    <row r="18">
      <c r="A18">
        <v>0</v>
      </c>
      <c r="C18">
        <v>0</v>
      </c>
      <c r="E18">
        <v>0</v>
      </c>
      <c r="G18">
        <v>0</v>
      </c>
      <c r="I18">
        <v>0</v>
      </c>
      <c r="K18">
        <v>0</v>
      </c>
      <c r="M18">
        <v>0</v>
      </c>
    </row>
    <row r="19">
      <c r="A19">
        <v>0</v>
      </c>
      <c r="C19">
        <v>0</v>
      </c>
      <c r="E19">
        <v>0</v>
      </c>
      <c r="G19">
        <v>0</v>
      </c>
      <c r="I19">
        <v>0</v>
      </c>
      <c r="K19">
        <v>0</v>
      </c>
      <c r="M19">
        <v>0</v>
      </c>
    </row>
    <row r="20">
      <c r="A20">
        <v>0</v>
      </c>
      <c r="C20">
        <v>0</v>
      </c>
      <c r="E20">
        <v>0</v>
      </c>
      <c r="G20">
        <v>0</v>
      </c>
      <c r="I20">
        <v>0</v>
      </c>
      <c r="K20">
        <v>0</v>
      </c>
      <c r="M20">
        <v>0</v>
      </c>
    </row>
    <row r="21">
      <c r="A21">
        <v>0</v>
      </c>
      <c r="C21">
        <v>0</v>
      </c>
      <c r="E21">
        <v>0</v>
      </c>
      <c r="G21">
        <v>0</v>
      </c>
      <c r="I21">
        <v>0</v>
      </c>
      <c r="K21">
        <v>0</v>
      </c>
      <c r="M21">
        <v>0</v>
      </c>
    </row>
    <row r="22">
      <c r="A22">
        <v>0</v>
      </c>
      <c r="C22">
        <v>0</v>
      </c>
      <c r="E22">
        <v>0</v>
      </c>
      <c r="G22">
        <v>0</v>
      </c>
      <c r="I22">
        <v>0</v>
      </c>
      <c r="K22">
        <v>0</v>
      </c>
      <c r="M22">
        <v>0</v>
      </c>
    </row>
    <row r="23">
      <c r="A23">
        <v>0</v>
      </c>
      <c r="C23">
        <v>0</v>
      </c>
      <c r="E23">
        <v>0</v>
      </c>
      <c r="G23">
        <v>0</v>
      </c>
      <c r="I23">
        <v>0</v>
      </c>
      <c r="K23">
        <v>0</v>
      </c>
      <c r="M23">
        <v>0</v>
      </c>
    </row>
    <row r="24">
      <c r="A24">
        <v>0</v>
      </c>
      <c r="C24">
        <v>0</v>
      </c>
      <c r="E24">
        <v>0</v>
      </c>
      <c r="G24">
        <v>0</v>
      </c>
      <c r="I24">
        <v>0</v>
      </c>
      <c r="K24">
        <v>0</v>
      </c>
      <c r="M24">
        <v>0</v>
      </c>
    </row>
    <row r="25">
      <c r="A25">
        <v>0</v>
      </c>
      <c r="C25">
        <v>0</v>
      </c>
      <c r="E25">
        <v>0</v>
      </c>
      <c r="G25">
        <v>0</v>
      </c>
      <c r="I25">
        <v>0</v>
      </c>
      <c r="K25">
        <v>0</v>
      </c>
      <c r="M25">
        <v>0</v>
      </c>
    </row>
    <row r="26">
      <c r="A26">
        <v>0</v>
      </c>
      <c r="C26">
        <v>0</v>
      </c>
      <c r="E26">
        <v>0</v>
      </c>
      <c r="G26">
        <v>0</v>
      </c>
      <c r="I26">
        <v>0</v>
      </c>
      <c r="K26">
        <v>0</v>
      </c>
      <c r="M26">
        <v>0</v>
      </c>
    </row>
    <row r="27">
      <c r="A27">
        <v>0</v>
      </c>
      <c r="C27">
        <v>0</v>
      </c>
      <c r="E27">
        <v>0</v>
      </c>
      <c r="G27">
        <v>0</v>
      </c>
      <c r="I27">
        <v>0</v>
      </c>
      <c r="K27">
        <v>0</v>
      </c>
      <c r="M27">
        <v>0</v>
      </c>
    </row>
    <row r="28">
      <c r="A28">
        <v>0</v>
      </c>
      <c r="C28">
        <v>0</v>
      </c>
      <c r="E28">
        <v>0</v>
      </c>
      <c r="G28">
        <v>0</v>
      </c>
      <c r="I28">
        <v>0</v>
      </c>
      <c r="K28">
        <v>0</v>
      </c>
      <c r="M28">
        <v>0</v>
      </c>
    </row>
    <row r="29">
      <c r="A29">
        <v>0</v>
      </c>
      <c r="C29">
        <v>0</v>
      </c>
      <c r="E29">
        <v>0</v>
      </c>
      <c r="G29">
        <v>0</v>
      </c>
      <c r="I29">
        <v>0</v>
      </c>
      <c r="K29">
        <v>0</v>
      </c>
      <c r="M29">
        <v>0</v>
      </c>
    </row>
    <row r="30">
      <c r="A30">
        <f>SUM(A3:A29)</f>
        <v>3174.81</v>
      </c>
      <c r="C30">
        <f>SUM(C3:C29)</f>
        <v>0</v>
      </c>
      <c r="E30">
        <f>SUM(E3:E29)</f>
        <v>0</v>
      </c>
      <c r="G30">
        <f>SUM(G3:G29)</f>
        <v>0</v>
      </c>
      <c r="I30">
        <f>SUM(I3:I29)</f>
        <v>0</v>
      </c>
      <c r="K30">
        <f>SUM(K3:K29)</f>
        <v>0</v>
      </c>
      <c r="M30">
        <f>SUM(M3:M29)</f>
        <v>0</v>
      </c>
    </row>
    <row r="31">
      <c r="A31" t="str">
        <v>TOTAL:</v>
      </c>
      <c r="B31">
        <f>A30+C30+E30+G30+I30+K30+M30</f>
        <v>3174.81</v>
      </c>
    </row>
    <row r="34">
      <c r="A34">
        <v>3998.31</v>
      </c>
    </row>
  </sheetData>
  <mergeCells count="2">
    <mergeCell ref="A1:N1"/>
    <mergeCell ref="B31:K31"/>
  </mergeCells>
  <ignoredErrors>
    <ignoredError numberStoredAsText="1" sqref="A1:N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FEV</v>
      </c>
    </row>
    <row r="2">
      <c r="A2">
        <v>906</v>
      </c>
      <c r="B2" t="str">
        <v>Descrição</v>
      </c>
      <c r="C2">
        <v>1309</v>
      </c>
      <c r="D2" t="str">
        <v>Descrição</v>
      </c>
      <c r="E2">
        <v>1322</v>
      </c>
      <c r="F2" t="str">
        <v>Descrição</v>
      </c>
      <c r="G2">
        <v>1420</v>
      </c>
      <c r="H2" t="str">
        <v>Descrição</v>
      </c>
      <c r="I2">
        <v>1421</v>
      </c>
      <c r="J2" t="str">
        <v>Descrição</v>
      </c>
      <c r="K2">
        <v>1422</v>
      </c>
      <c r="L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30</v>
      </c>
      <c r="H3" t="str">
        <v>Amenitiz</v>
      </c>
      <c r="I3">
        <v>30</v>
      </c>
      <c r="J3" t="str">
        <v>Amenitiz</v>
      </c>
      <c r="K3">
        <v>30</v>
      </c>
      <c r="L3" t="str">
        <v>Amenitiz</v>
      </c>
    </row>
    <row r="4">
      <c r="A4">
        <v>4200</v>
      </c>
      <c r="B4" t="str">
        <v>Condomínio</v>
      </c>
      <c r="C4">
        <v>4500</v>
      </c>
      <c r="D4" t="str">
        <v>Condomínio</v>
      </c>
      <c r="E4">
        <v>4500.1</v>
      </c>
      <c r="F4" t="str">
        <v>Condomínio</v>
      </c>
      <c r="G4">
        <v>4500</v>
      </c>
      <c r="H4" t="str">
        <v>Condomínio</v>
      </c>
      <c r="I4">
        <v>4533.02</v>
      </c>
      <c r="J4" t="str">
        <v>Condomínio</v>
      </c>
      <c r="K4">
        <v>4500</v>
      </c>
      <c r="L4" t="str">
        <v>Condomínio</v>
      </c>
    </row>
    <row r="5">
      <c r="A5">
        <v>120.48</v>
      </c>
      <c r="B5" t="str">
        <v>Energia</v>
      </c>
      <c r="C5">
        <v>202.1</v>
      </c>
      <c r="D5" t="str">
        <v>Energia</v>
      </c>
      <c r="E5">
        <v>144.88</v>
      </c>
      <c r="F5" t="str">
        <v>Energia</v>
      </c>
      <c r="G5">
        <v>124.08</v>
      </c>
      <c r="H5" t="str">
        <v>Energia</v>
      </c>
      <c r="I5">
        <v>75.33</v>
      </c>
      <c r="J5" t="str">
        <v>Energia</v>
      </c>
      <c r="K5">
        <v>198.36</v>
      </c>
      <c r="L5" t="str">
        <v>Energia</v>
      </c>
    </row>
    <row r="6">
      <c r="A6">
        <v>213.77</v>
      </c>
      <c r="B6" t="str">
        <v>Lavanderia</v>
      </c>
      <c r="C6">
        <v>213.77</v>
      </c>
      <c r="D6" t="str">
        <v>Lavanderia</v>
      </c>
      <c r="E6">
        <v>213.77</v>
      </c>
      <c r="F6" t="str">
        <v>Lavanderia</v>
      </c>
      <c r="G6">
        <v>213.77</v>
      </c>
      <c r="H6" t="str">
        <v>Lavanderia</v>
      </c>
      <c r="I6">
        <v>213.77</v>
      </c>
      <c r="J6" t="str">
        <v>Lavanderia</v>
      </c>
      <c r="K6">
        <v>213.77</v>
      </c>
      <c r="L6" t="str">
        <v>Lavanderia</v>
      </c>
    </row>
    <row r="7">
      <c r="A7">
        <v>490</v>
      </c>
      <c r="B7" t="str">
        <v>Manutenção</v>
      </c>
      <c r="C7">
        <v>90</v>
      </c>
      <c r="D7" t="str">
        <v>Manutenção</v>
      </c>
      <c r="E7">
        <v>90</v>
      </c>
      <c r="F7" t="str">
        <v>Manutenção</v>
      </c>
      <c r="G7">
        <v>90</v>
      </c>
      <c r="H7" t="str">
        <v>Manutenção</v>
      </c>
      <c r="I7">
        <v>215</v>
      </c>
      <c r="J7" t="str">
        <v>Manutenção</v>
      </c>
      <c r="K7">
        <v>90</v>
      </c>
      <c r="L7" t="str">
        <v>Manutenção</v>
      </c>
    </row>
    <row r="8">
      <c r="A8">
        <v>69.53</v>
      </c>
      <c r="B8" t="str">
        <v>Mercado</v>
      </c>
      <c r="C8">
        <v>69.53</v>
      </c>
      <c r="D8" t="str">
        <v>Mercado</v>
      </c>
      <c r="E8">
        <v>69.53</v>
      </c>
      <c r="F8" t="str">
        <v>Mercado</v>
      </c>
      <c r="G8">
        <v>69.53</v>
      </c>
      <c r="H8" t="str">
        <v>Mercado</v>
      </c>
      <c r="I8">
        <v>69.53</v>
      </c>
      <c r="J8" t="str">
        <v>Mercado</v>
      </c>
      <c r="K8">
        <v>69.53</v>
      </c>
      <c r="L8" t="str">
        <v>Mercado</v>
      </c>
    </row>
    <row r="9">
      <c r="A9">
        <v>5123.78</v>
      </c>
      <c r="B9" t="str">
        <v/>
      </c>
      <c r="C9">
        <v>5105.4</v>
      </c>
      <c r="D9" t="str">
        <v/>
      </c>
      <c r="E9">
        <v>5048.28</v>
      </c>
      <c r="F9" t="str">
        <v/>
      </c>
      <c r="G9">
        <v>5027.38</v>
      </c>
      <c r="H9" t="str">
        <v/>
      </c>
      <c r="I9">
        <v>5136.65</v>
      </c>
      <c r="J9" t="str">
        <v/>
      </c>
      <c r="K9">
        <v>5101.66</v>
      </c>
      <c r="L9" t="str">
        <v/>
      </c>
    </row>
  </sheetData>
  <ignoredErrors>
    <ignoredError numberStoredAsText="1" sqref="A1:L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FEV</v>
      </c>
    </row>
    <row r="2">
      <c r="A2" t="str">
        <v>A113</v>
      </c>
      <c r="B2" t="str">
        <v>Descrição</v>
      </c>
      <c r="C2" t="str">
        <v>A115</v>
      </c>
      <c r="D2" t="str">
        <v>Descrição</v>
      </c>
      <c r="E2" t="str">
        <v>A117</v>
      </c>
      <c r="F2" t="str">
        <v>Descrição</v>
      </c>
      <c r="G2" t="str">
        <v>-</v>
      </c>
      <c r="H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0</v>
      </c>
      <c r="H3" t="str">
        <v>Amenitiz</v>
      </c>
    </row>
    <row r="4">
      <c r="A4">
        <f>3700+20.45</f>
        <v>3720.45</v>
      </c>
      <c r="B4" t="str">
        <v>Condomínio</v>
      </c>
      <c r="C4">
        <f>3700+2192.28+20.45</f>
        <v>5912.73</v>
      </c>
      <c r="D4" t="str">
        <v>Condomínio</v>
      </c>
      <c r="E4">
        <f>5421.12</f>
        <v>5421.12</v>
      </c>
      <c r="F4" t="str">
        <v>Condomínio</v>
      </c>
      <c r="G4">
        <v>0</v>
      </c>
      <c r="H4" t="str">
        <v>Condomínio</v>
      </c>
    </row>
    <row r="5">
      <c r="A5">
        <v>670.95</v>
      </c>
      <c r="B5" t="str">
        <v>Energia</v>
      </c>
      <c r="C5">
        <v>250.29</v>
      </c>
      <c r="D5" t="str">
        <v>Energia</v>
      </c>
      <c r="E5">
        <v>288.82</v>
      </c>
      <c r="F5" t="str">
        <v>Energia</v>
      </c>
      <c r="G5">
        <v>0</v>
      </c>
      <c r="H5" t="str">
        <v>Energia</v>
      </c>
    </row>
    <row r="6">
      <c r="A6">
        <v>0</v>
      </c>
      <c r="B6" t="str">
        <v>Condomínio</v>
      </c>
      <c r="C6">
        <v>0</v>
      </c>
      <c r="D6" t="str">
        <v>Condomínio</v>
      </c>
      <c r="E6">
        <v>0</v>
      </c>
      <c r="F6" t="str">
        <v>Condomínio</v>
      </c>
      <c r="G6">
        <v>0</v>
      </c>
      <c r="H6" t="str">
        <v>Condomínio</v>
      </c>
    </row>
    <row r="7">
      <c r="A7">
        <v>0</v>
      </c>
      <c r="B7" t="str">
        <v>Internet</v>
      </c>
      <c r="C7">
        <v>0</v>
      </c>
      <c r="D7" t="str">
        <v>Internet</v>
      </c>
      <c r="E7">
        <v>0</v>
      </c>
      <c r="F7" t="str">
        <v>Internet</v>
      </c>
      <c r="G7">
        <v>0</v>
      </c>
      <c r="H7" t="str">
        <v>Internet</v>
      </c>
    </row>
    <row r="8">
      <c r="A8">
        <v>213.77</v>
      </c>
      <c r="B8" t="str">
        <v>Lavanderia</v>
      </c>
      <c r="C8">
        <v>213.77</v>
      </c>
      <c r="D8" t="str">
        <v>Lavanderia</v>
      </c>
      <c r="E8">
        <v>213.77</v>
      </c>
      <c r="F8" t="str">
        <v>Lavanderia</v>
      </c>
      <c r="G8">
        <v>0</v>
      </c>
      <c r="H8" t="str">
        <v>Lavanderia</v>
      </c>
    </row>
    <row r="9">
      <c r="A9">
        <v>90</v>
      </c>
      <c r="B9" t="str">
        <v>Manutenção</v>
      </c>
      <c r="C9">
        <v>90</v>
      </c>
      <c r="D9" t="str">
        <v>Manutenção</v>
      </c>
      <c r="E9">
        <f>90+670</f>
        <v>760</v>
      </c>
      <c r="F9" t="str">
        <v>Manutenção</v>
      </c>
      <c r="G9">
        <v>0</v>
      </c>
      <c r="H9" t="str">
        <v>Manutenção</v>
      </c>
    </row>
    <row r="10">
      <c r="A10">
        <v>0</v>
      </c>
      <c r="B10" t="str">
        <v>Mercado</v>
      </c>
      <c r="C10">
        <v>0</v>
      </c>
      <c r="D10" t="str">
        <v>Mercado</v>
      </c>
      <c r="E10">
        <v>0</v>
      </c>
      <c r="F10" t="str">
        <v>Mercado</v>
      </c>
      <c r="G10">
        <v>0</v>
      </c>
      <c r="H10" t="str">
        <v>Mercado</v>
      </c>
    </row>
    <row r="11">
      <c r="A11">
        <v>0</v>
      </c>
      <c r="C11">
        <v>0</v>
      </c>
      <c r="E11">
        <v>0</v>
      </c>
      <c r="G11">
        <v>0</v>
      </c>
    </row>
    <row r="12">
      <c r="A12">
        <v>0</v>
      </c>
      <c r="C12">
        <v>0</v>
      </c>
      <c r="E12">
        <v>0</v>
      </c>
      <c r="G12">
        <v>0</v>
      </c>
    </row>
    <row r="13">
      <c r="A13">
        <v>0</v>
      </c>
      <c r="C13">
        <v>0</v>
      </c>
      <c r="E13">
        <v>0</v>
      </c>
      <c r="G13">
        <v>0</v>
      </c>
    </row>
    <row r="14">
      <c r="A14">
        <v>0</v>
      </c>
      <c r="C14">
        <v>0</v>
      </c>
      <c r="E14">
        <v>0</v>
      </c>
      <c r="G14">
        <v>0</v>
      </c>
    </row>
    <row r="15">
      <c r="A15">
        <v>0</v>
      </c>
      <c r="C15">
        <v>0</v>
      </c>
      <c r="E15">
        <v>0</v>
      </c>
      <c r="G15">
        <v>0</v>
      </c>
    </row>
    <row r="16">
      <c r="A16">
        <v>0</v>
      </c>
      <c r="C16">
        <v>0</v>
      </c>
      <c r="E16">
        <v>0</v>
      </c>
      <c r="G16">
        <v>0</v>
      </c>
    </row>
    <row r="17">
      <c r="A17">
        <v>0</v>
      </c>
      <c r="C17">
        <v>0</v>
      </c>
      <c r="E17">
        <v>0</v>
      </c>
      <c r="G17">
        <v>0</v>
      </c>
    </row>
    <row r="18">
      <c r="A18">
        <v>0</v>
      </c>
      <c r="C18">
        <v>0</v>
      </c>
      <c r="E18">
        <v>0</v>
      </c>
      <c r="G18">
        <v>0</v>
      </c>
    </row>
    <row r="19">
      <c r="A19">
        <v>0</v>
      </c>
      <c r="C19">
        <v>0</v>
      </c>
      <c r="E19">
        <v>0</v>
      </c>
      <c r="G19">
        <v>0</v>
      </c>
    </row>
    <row r="20">
      <c r="A20">
        <v>0</v>
      </c>
      <c r="C20">
        <v>0</v>
      </c>
      <c r="E20">
        <v>0</v>
      </c>
      <c r="G20">
        <v>0</v>
      </c>
    </row>
    <row r="21">
      <c r="A21">
        <v>0</v>
      </c>
      <c r="C21">
        <v>0</v>
      </c>
      <c r="E21">
        <v>0</v>
      </c>
      <c r="G21">
        <v>0</v>
      </c>
    </row>
    <row r="22">
      <c r="A22">
        <v>0</v>
      </c>
      <c r="C22">
        <v>0</v>
      </c>
      <c r="E22">
        <v>0</v>
      </c>
      <c r="G22">
        <v>0</v>
      </c>
    </row>
    <row r="23">
      <c r="A23">
        <v>0</v>
      </c>
      <c r="C23">
        <v>0</v>
      </c>
      <c r="E23">
        <v>0</v>
      </c>
      <c r="G23">
        <v>0</v>
      </c>
    </row>
    <row r="24">
      <c r="A24">
        <v>0</v>
      </c>
      <c r="C24">
        <v>0</v>
      </c>
      <c r="E24">
        <v>0</v>
      </c>
      <c r="G24">
        <v>0</v>
      </c>
    </row>
    <row r="25">
      <c r="A25">
        <v>0</v>
      </c>
      <c r="C25">
        <v>0</v>
      </c>
      <c r="E25">
        <v>0</v>
      </c>
      <c r="G25">
        <v>0</v>
      </c>
    </row>
    <row r="26">
      <c r="A26">
        <v>0</v>
      </c>
      <c r="C26">
        <v>0</v>
      </c>
      <c r="E26">
        <v>0</v>
      </c>
      <c r="G26">
        <v>0</v>
      </c>
    </row>
    <row r="27">
      <c r="A27">
        <v>0</v>
      </c>
      <c r="C27">
        <v>0</v>
      </c>
      <c r="E27">
        <v>0</v>
      </c>
      <c r="G27">
        <v>0</v>
      </c>
    </row>
    <row r="28">
      <c r="A28">
        <v>0</v>
      </c>
      <c r="C28">
        <v>0</v>
      </c>
      <c r="E28">
        <v>0</v>
      </c>
      <c r="G28">
        <v>0</v>
      </c>
    </row>
    <row r="29">
      <c r="A29">
        <v>0</v>
      </c>
      <c r="C29">
        <v>0</v>
      </c>
      <c r="E29">
        <v>0</v>
      </c>
      <c r="G29">
        <v>0</v>
      </c>
    </row>
    <row r="30">
      <c r="A30">
        <f>SUM(A3:A29)</f>
        <v>4725.17</v>
      </c>
      <c r="C30">
        <f>SUM(C3:C29)</f>
        <v>6496.79</v>
      </c>
      <c r="E30">
        <f>SUM(E3:E29)</f>
        <v>6713.71</v>
      </c>
      <c r="G30">
        <f>SUM(G3:G29)</f>
        <v>0</v>
      </c>
    </row>
    <row r="31">
      <c r="A31" t="str">
        <v>TOTAL:</v>
      </c>
      <c r="B31">
        <f>A30+C30+E30+G30+I30+K30</f>
        <v>17935.67</v>
      </c>
    </row>
    <row r="33">
      <c r="A33">
        <v>4216.44</v>
      </c>
      <c r="C33">
        <v>4351.03</v>
      </c>
      <c r="E33">
        <v>8187.99</v>
      </c>
      <c r="G33">
        <v>5289.33</v>
      </c>
    </row>
  </sheetData>
  <mergeCells count="2">
    <mergeCell ref="A1:K1"/>
    <mergeCell ref="B31:K31"/>
  </mergeCells>
  <ignoredErrors>
    <ignoredError numberStoredAsText="1" sqref="A1:H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1000"/>
  <sheetViews>
    <sheetView workbookViewId="0" rightToLeft="0"/>
  </sheetViews>
  <sheetData>
    <row r="1">
      <c r="A1" t="str">
        <v>JAN - ADM</v>
      </c>
    </row>
    <row r="2">
      <c r="A2" t="str">
        <v>ESSENCE</v>
      </c>
      <c r="C2" t="str">
        <v>EASY</v>
      </c>
      <c r="E2" t="str">
        <v>CULLINAN</v>
      </c>
      <c r="G2" t="str">
        <v>ATHOS</v>
      </c>
      <c r="I2" t="str">
        <v>NOBILE</v>
      </c>
      <c r="K2" t="str">
        <v>FUSION</v>
      </c>
      <c r="M2" t="str">
        <v>METROPOLITAN</v>
      </c>
      <c r="O2" t="str">
        <v>BRISAS</v>
      </c>
      <c r="Q2" t="str">
        <v>MERCURE</v>
      </c>
    </row>
    <row r="3">
      <c r="B3" t="str">
        <v>FAT</v>
      </c>
      <c r="D3" t="str">
        <v>FAT</v>
      </c>
      <c r="F3" t="str">
        <v>FAT</v>
      </c>
      <c r="H3" t="str">
        <v>FAT</v>
      </c>
      <c r="J3" t="str">
        <v>FAT</v>
      </c>
      <c r="L3" t="str">
        <v>FAT</v>
      </c>
      <c r="N3" t="str">
        <v>FAT</v>
      </c>
      <c r="P3" t="str">
        <v>FAT</v>
      </c>
      <c r="R3" t="str">
        <v>FAT</v>
      </c>
    </row>
    <row r="4">
      <c r="B4" t="str">
        <v>LUC</v>
      </c>
      <c r="D4" t="str">
        <v>LUC</v>
      </c>
      <c r="F4" t="str">
        <v>LUC</v>
      </c>
      <c r="H4" t="str">
        <v>LUC</v>
      </c>
      <c r="J4" t="str">
        <v>LUC</v>
      </c>
      <c r="L4" t="str">
        <v>LUC</v>
      </c>
      <c r="N4" t="str">
        <v>LUC</v>
      </c>
      <c r="P4" t="str">
        <v>LUC</v>
      </c>
      <c r="R4" t="str">
        <v>LUC</v>
      </c>
    </row>
    <row r="7">
      <c r="A7" t="str">
        <v>TOTAL FAT</v>
      </c>
    </row>
    <row r="8">
      <c r="A8" t="str">
        <v>TOTAL LUC</v>
      </c>
    </row>
  </sheetData>
  <mergeCells count="3">
    <mergeCell ref="A1:R1"/>
    <mergeCell ref="B7:R7"/>
    <mergeCell ref="B8:R8"/>
  </mergeCells>
  <ignoredErrors>
    <ignoredError numberStoredAsText="1" sqref="A1:R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ESSENCE</vt:lpstr>
      <vt:lpstr>CULLINAN</vt:lpstr>
      <vt:lpstr>ATHOS</vt:lpstr>
      <vt:lpstr>NOBILE</vt:lpstr>
      <vt:lpstr>VISION</vt:lpstr>
      <vt:lpstr>FUSION</vt:lpstr>
      <vt:lpstr>METROPOLITAN</vt:lpstr>
      <vt:lpstr>MERCURE</vt:lpstr>
      <vt:lpstr>BRISAS</vt:lpstr>
      <vt:lpstr>RESULTADO ADM 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