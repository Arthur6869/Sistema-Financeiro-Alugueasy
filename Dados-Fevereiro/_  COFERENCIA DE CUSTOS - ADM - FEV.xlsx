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SENCE" sheetId="1" r:id="rId1"/>
    <sheet name="EASY" sheetId="2" r:id="rId2"/>
    <sheet name="CULLINAN" sheetId="3" r:id="rId3"/>
    <sheet name="ATHOS" sheetId="4" r:id="rId4"/>
    <sheet name="NOBILE" sheetId="5" r:id="rId5"/>
    <sheet name="FUSION" sheetId="6" r:id="rId6"/>
    <sheet name="MERCURE" sheetId="7" r:id="rId7"/>
    <sheet name="METROPOLITAN" sheetId="8" r:id="rId8"/>
    <sheet name="RAMADA" sheetId="9" r:id="rId9"/>
    <sheet name="BRISAS" sheetId="10" r:id="rId10"/>
    <sheet name="RESULTADO ADM 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$&quot;#,##0.00"/>
    <numFmt numFmtId="165" formatCode="[$R$ -416]#,##0.00"/>
    <numFmt numFmtId="166" formatCode="[$R$]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 rightToLeft="0"/>
  </sheetViews>
  <sheetData>
    <row r="1">
      <c r="A1" t="str">
        <v>FEV</v>
      </c>
    </row>
    <row r="2">
      <c r="A2">
        <v>204</v>
      </c>
      <c r="B2" t="str">
        <v>Descrição</v>
      </c>
      <c r="C2">
        <v>301</v>
      </c>
      <c r="D2" t="str">
        <v>Descrição</v>
      </c>
      <c r="E2">
        <v>404</v>
      </c>
      <c r="F2" t="str">
        <v>Descrição</v>
      </c>
      <c r="G2">
        <v>502</v>
      </c>
      <c r="H2" t="str">
        <v>Descrição</v>
      </c>
      <c r="I2">
        <v>504</v>
      </c>
      <c r="J2" t="str">
        <v>Descrição</v>
      </c>
      <c r="K2">
        <v>602</v>
      </c>
      <c r="L2" t="str">
        <v>Descrição</v>
      </c>
      <c r="M2">
        <v>702</v>
      </c>
      <c r="N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30</v>
      </c>
      <c r="F3" t="str">
        <v>Amenitiz</v>
      </c>
      <c r="G3">
        <v>30</v>
      </c>
      <c r="H3" t="str">
        <v>Amenitiz</v>
      </c>
      <c r="I3">
        <v>30</v>
      </c>
      <c r="J3" t="str">
        <v>Amenitiz</v>
      </c>
      <c r="K3">
        <v>30</v>
      </c>
      <c r="L3" t="str">
        <v>Amenitiz</v>
      </c>
      <c r="M3">
        <v>30</v>
      </c>
      <c r="N3" t="str">
        <v>Amenitiz</v>
      </c>
    </row>
    <row r="4">
      <c r="A4">
        <v>1208.1</v>
      </c>
      <c r="B4" t="str">
        <v>Condomínio</v>
      </c>
      <c r="C4">
        <v>1239.13</v>
      </c>
      <c r="D4" t="str">
        <v>Condomínio</v>
      </c>
      <c r="E4">
        <v>1247.22</v>
      </c>
      <c r="F4" t="str">
        <v>Condomínio</v>
      </c>
      <c r="G4">
        <v>1239.13</v>
      </c>
      <c r="H4" t="str">
        <v>Condomínio</v>
      </c>
      <c r="I4">
        <v>1231.03</v>
      </c>
      <c r="J4" t="str">
        <v>Condomínio</v>
      </c>
      <c r="K4">
        <v>1239.13</v>
      </c>
      <c r="L4" t="str">
        <v>Condomínio</v>
      </c>
      <c r="M4">
        <v>1239.13</v>
      </c>
      <c r="N4" t="str">
        <v>Condomínio</v>
      </c>
    </row>
    <row r="5">
      <c r="A5">
        <v>335.56</v>
      </c>
      <c r="B5" t="str">
        <v>Energia</v>
      </c>
      <c r="C5">
        <v>363.77</v>
      </c>
      <c r="D5" t="str">
        <v>Energia</v>
      </c>
      <c r="E5">
        <v>285.78</v>
      </c>
      <c r="F5" t="str">
        <v>Energia</v>
      </c>
      <c r="G5">
        <v>392.18</v>
      </c>
      <c r="H5" t="str">
        <v>Energia</v>
      </c>
      <c r="I5">
        <v>374.46</v>
      </c>
      <c r="J5" t="str">
        <v>Energia</v>
      </c>
      <c r="K5">
        <v>308.85</v>
      </c>
      <c r="L5" t="str">
        <v>Energia</v>
      </c>
      <c r="M5">
        <v>316.98</v>
      </c>
      <c r="N5" t="str">
        <v>Energia</v>
      </c>
    </row>
    <row r="6">
      <c r="A6">
        <v>10.63</v>
      </c>
      <c r="B6" t="str">
        <v>Gás</v>
      </c>
      <c r="C6">
        <v>16.51</v>
      </c>
      <c r="D6" t="str">
        <v>Gás</v>
      </c>
      <c r="E6">
        <v>10.33</v>
      </c>
      <c r="F6" t="str">
        <v>Gás</v>
      </c>
      <c r="G6">
        <v>11.01</v>
      </c>
      <c r="H6" t="str">
        <v>Gás</v>
      </c>
      <c r="I6">
        <v>15.95</v>
      </c>
      <c r="J6" t="str">
        <v>Gás</v>
      </c>
      <c r="K6">
        <v>10.8</v>
      </c>
      <c r="L6" t="str">
        <v>Gás</v>
      </c>
      <c r="M6">
        <v>0</v>
      </c>
      <c r="N6" t="str">
        <v>Gás</v>
      </c>
    </row>
    <row r="7">
      <c r="A7">
        <v>79.9</v>
      </c>
      <c r="B7" t="str">
        <v>Internet</v>
      </c>
      <c r="C7">
        <v>79.9</v>
      </c>
      <c r="D7" t="str">
        <v>Internet</v>
      </c>
      <c r="E7">
        <v>79.9</v>
      </c>
      <c r="F7" t="str">
        <v>Internet</v>
      </c>
      <c r="G7">
        <v>79.9</v>
      </c>
      <c r="H7" t="str">
        <v>Internet</v>
      </c>
      <c r="I7">
        <v>79.9</v>
      </c>
      <c r="J7" t="str">
        <v>Internet</v>
      </c>
      <c r="K7">
        <v>79.9</v>
      </c>
      <c r="L7" t="str">
        <v>Internet</v>
      </c>
      <c r="M7">
        <v>79.9</v>
      </c>
      <c r="N7" t="str">
        <v>Internet</v>
      </c>
    </row>
    <row r="8">
      <c r="A8">
        <v>165.09</v>
      </c>
      <c r="B8" t="str">
        <v>IPTU</v>
      </c>
      <c r="C8">
        <v>165.09</v>
      </c>
      <c r="D8" t="str">
        <v>IPTU</v>
      </c>
      <c r="E8">
        <v>165.09</v>
      </c>
      <c r="F8" t="str">
        <v>IPTU</v>
      </c>
      <c r="G8">
        <v>165.09</v>
      </c>
      <c r="H8" t="str">
        <v>IPTU</v>
      </c>
      <c r="I8">
        <v>165.09</v>
      </c>
      <c r="J8" t="str">
        <v>IPTU</v>
      </c>
      <c r="K8">
        <v>165.09</v>
      </c>
      <c r="L8" t="str">
        <v>IPTU</v>
      </c>
      <c r="M8">
        <v>165.09</v>
      </c>
      <c r="N8" t="str">
        <v>IPTU</v>
      </c>
    </row>
    <row r="9">
      <c r="A9">
        <v>277.91</v>
      </c>
      <c r="B9" t="str">
        <v>Lavanderia</v>
      </c>
      <c r="C9">
        <v>277.91</v>
      </c>
      <c r="D9" t="str">
        <v>Lavanderia</v>
      </c>
      <c r="E9">
        <v>277.91</v>
      </c>
      <c r="F9" t="str">
        <v>Lavanderia</v>
      </c>
      <c r="G9">
        <v>277.91</v>
      </c>
      <c r="H9" t="str">
        <v>Lavanderia</v>
      </c>
      <c r="I9">
        <v>277.91</v>
      </c>
      <c r="J9" t="str">
        <v>Lavanderia</v>
      </c>
      <c r="K9">
        <v>277.91</v>
      </c>
      <c r="L9" t="str">
        <v>Lavanderia</v>
      </c>
      <c r="M9">
        <v>277.91</v>
      </c>
      <c r="N9" t="str">
        <v>Lavanderia</v>
      </c>
    </row>
    <row r="10">
      <c r="A10">
        <v>90</v>
      </c>
      <c r="B10" t="str">
        <v>Manutenção</v>
      </c>
      <c r="C10">
        <v>90</v>
      </c>
      <c r="D10" t="str">
        <v>Manutenção</v>
      </c>
      <c r="E10">
        <v>90</v>
      </c>
      <c r="F10" t="str">
        <v>Manutenção</v>
      </c>
      <c r="G10">
        <v>90</v>
      </c>
      <c r="H10" t="str">
        <v>Manutenção</v>
      </c>
      <c r="I10">
        <v>90</v>
      </c>
      <c r="J10" t="str">
        <v>Manutenção</v>
      </c>
      <c r="K10">
        <v>90</v>
      </c>
      <c r="L10" t="str">
        <v>Manutenção</v>
      </c>
      <c r="M10">
        <v>90</v>
      </c>
      <c r="N10" t="str">
        <v>Manutenção</v>
      </c>
    </row>
    <row r="11">
      <c r="A11">
        <v>28.43</v>
      </c>
      <c r="B11" t="str">
        <v>Seguro</v>
      </c>
      <c r="C11">
        <v>28.43</v>
      </c>
      <c r="D11" t="str">
        <v>Seguro</v>
      </c>
      <c r="E11">
        <v>28.43</v>
      </c>
      <c r="F11" t="str">
        <v>Seguro</v>
      </c>
      <c r="G11">
        <v>28.43</v>
      </c>
      <c r="H11" t="str">
        <v>Seguro</v>
      </c>
      <c r="I11">
        <v>28.43</v>
      </c>
      <c r="J11" t="str">
        <v>Seguro</v>
      </c>
      <c r="K11">
        <v>28.43</v>
      </c>
      <c r="L11" t="str">
        <v>Seguro</v>
      </c>
      <c r="M11">
        <v>28.43</v>
      </c>
      <c r="N11" t="str">
        <v>Seguro</v>
      </c>
    </row>
    <row r="12">
      <c r="A12">
        <v>52.95</v>
      </c>
      <c r="B12" t="str">
        <v>Mercado</v>
      </c>
      <c r="C12">
        <v>52.95</v>
      </c>
      <c r="D12" t="str">
        <v>Mercado</v>
      </c>
      <c r="E12">
        <v>52.95</v>
      </c>
      <c r="F12" t="str">
        <v>Mercado</v>
      </c>
      <c r="G12">
        <v>52.95</v>
      </c>
      <c r="H12" t="str">
        <v>Mercado</v>
      </c>
      <c r="I12">
        <v>52.95</v>
      </c>
      <c r="J12" t="str">
        <v>Mercado</v>
      </c>
      <c r="K12">
        <v>52.95</v>
      </c>
      <c r="L12" t="str">
        <v>Mercado</v>
      </c>
      <c r="M12">
        <v>52.95</v>
      </c>
      <c r="N12" t="str">
        <v>Mercado</v>
      </c>
    </row>
    <row r="13">
      <c r="A13">
        <v>2278.57</v>
      </c>
      <c r="B13" t="str">
        <v/>
      </c>
      <c r="C13">
        <v>2343.69</v>
      </c>
      <c r="D13" t="str">
        <v/>
      </c>
      <c r="E13">
        <v>2267.61</v>
      </c>
      <c r="F13" t="str">
        <v/>
      </c>
      <c r="G13">
        <v>2366.6</v>
      </c>
      <c r="H13" t="str">
        <v/>
      </c>
      <c r="I13">
        <v>2345.72</v>
      </c>
      <c r="J13" t="str">
        <v/>
      </c>
      <c r="K13">
        <v>2283.06</v>
      </c>
      <c r="L13" t="str">
        <v/>
      </c>
      <c r="M13">
        <v>2280.39</v>
      </c>
      <c r="N13" t="str">
        <v/>
      </c>
    </row>
  </sheetData>
  <ignoredErrors>
    <ignoredError numberStoredAsText="1" sqref="A1:N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 rightToLeft="0"/>
  </sheetViews>
  <sheetData>
    <row r="1">
      <c r="A1" t="str">
        <v>FEV</v>
      </c>
    </row>
    <row r="2">
      <c r="A2">
        <v>117</v>
      </c>
      <c r="B2" t="str">
        <v>Descrição</v>
      </c>
      <c r="C2">
        <v>217</v>
      </c>
      <c r="D2" t="str">
        <v>Descrição</v>
      </c>
      <c r="E2">
        <v>218</v>
      </c>
      <c r="F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30</v>
      </c>
      <c r="F3" t="str">
        <v>Amenitiz</v>
      </c>
    </row>
    <row r="4">
      <c r="A4">
        <v>1005.41</v>
      </c>
      <c r="B4" t="str">
        <v>Condomínio</v>
      </c>
      <c r="C4">
        <v>954</v>
      </c>
      <c r="D4" t="str">
        <v>Condomínio</v>
      </c>
      <c r="E4">
        <v>965.23</v>
      </c>
      <c r="F4" t="str">
        <v>Condomínio</v>
      </c>
    </row>
    <row r="5">
      <c r="A5">
        <v>210.03</v>
      </c>
      <c r="B5" t="str">
        <v>Energia</v>
      </c>
      <c r="C5">
        <v>44.69</v>
      </c>
      <c r="D5" t="str">
        <v>Energia</v>
      </c>
      <c r="E5">
        <v>0</v>
      </c>
      <c r="F5" t="str">
        <v>Energia</v>
      </c>
    </row>
    <row r="6">
      <c r="A6">
        <v>68</v>
      </c>
      <c r="B6" t="str">
        <v>Internet</v>
      </c>
      <c r="C6">
        <v>0</v>
      </c>
      <c r="D6" t="str">
        <v>Internet</v>
      </c>
      <c r="E6">
        <v>0</v>
      </c>
      <c r="F6" t="str">
        <v>Internet</v>
      </c>
    </row>
    <row r="7">
      <c r="A7">
        <v>277.91</v>
      </c>
      <c r="B7" t="str">
        <v>Lavanderia</v>
      </c>
      <c r="C7">
        <v>213.77</v>
      </c>
      <c r="D7" t="str">
        <v>Lavanderia</v>
      </c>
      <c r="E7">
        <v>277.91</v>
      </c>
      <c r="F7" t="str">
        <v>Lavanderia</v>
      </c>
    </row>
    <row r="8">
      <c r="A8">
        <v>90</v>
      </c>
      <c r="B8" t="str">
        <v>Manutenção</v>
      </c>
      <c r="C8">
        <v>90</v>
      </c>
      <c r="D8" t="str">
        <v>Manutenção</v>
      </c>
      <c r="E8">
        <v>90</v>
      </c>
      <c r="F8" t="str">
        <v>Manutenção</v>
      </c>
    </row>
    <row r="9">
      <c r="A9">
        <v>1681.35</v>
      </c>
      <c r="B9" t="str">
        <v/>
      </c>
      <c r="C9">
        <v>1332.46</v>
      </c>
      <c r="D9" t="str">
        <v/>
      </c>
      <c r="E9">
        <v>1363.14</v>
      </c>
      <c r="F9" t="str">
        <v/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FEV</v>
      </c>
    </row>
    <row r="2">
      <c r="A2">
        <v>611</v>
      </c>
      <c r="B2" t="str">
        <v>Descrição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-</v>
      </c>
    </row>
    <row r="3">
      <c r="A3">
        <v>30</v>
      </c>
      <c r="B3" t="str">
        <v>Amenitiz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v>0</v>
      </c>
    </row>
    <row r="4">
      <c r="A4">
        <v>1952.29</v>
      </c>
      <c r="B4" t="str">
        <v>Condomínio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0</v>
      </c>
    </row>
    <row r="5">
      <c r="A5">
        <v>213.77</v>
      </c>
      <c r="B5" t="str">
        <v>Lavanderia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0</v>
      </c>
    </row>
    <row r="6">
      <c r="A6">
        <v>90</v>
      </c>
      <c r="B6" t="str">
        <v>Manutenção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0</v>
      </c>
    </row>
    <row r="7">
      <c r="A7">
        <v>15.98</v>
      </c>
      <c r="B7" t="str">
        <v>Mercado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0</v>
      </c>
    </row>
    <row r="8">
      <c r="A8">
        <v>2302.04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0</v>
      </c>
    </row>
  </sheetData>
  <ignoredErrors>
    <ignoredError numberStoredAsText="1" sqref="A1:O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FEV</v>
      </c>
    </row>
    <row r="2">
      <c r="A2">
        <v>910</v>
      </c>
      <c r="B2" t="str">
        <v>Descrição</v>
      </c>
    </row>
    <row r="3">
      <c r="A3">
        <v>30</v>
      </c>
      <c r="B3" t="str">
        <v>Amenitiz</v>
      </c>
    </row>
    <row r="4">
      <c r="A4">
        <v>1809.78</v>
      </c>
      <c r="B4" t="str">
        <v>Condomínio</v>
      </c>
    </row>
    <row r="5">
      <c r="A5">
        <v>151.19</v>
      </c>
      <c r="B5" t="str">
        <v>Energia</v>
      </c>
    </row>
    <row r="6">
      <c r="A6">
        <v>213.77</v>
      </c>
      <c r="B6" t="str">
        <v>Lavanderia</v>
      </c>
    </row>
    <row r="7">
      <c r="A7">
        <v>90</v>
      </c>
      <c r="B7" t="str">
        <v>Manutenção</v>
      </c>
    </row>
    <row r="8">
      <c r="A8">
        <v>123.76</v>
      </c>
      <c r="B8" t="str">
        <v>Mercado</v>
      </c>
    </row>
    <row r="9">
      <c r="A9">
        <v>2418.5</v>
      </c>
      <c r="B9" t="str">
        <v/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FEV</v>
      </c>
    </row>
    <row r="2">
      <c r="A2">
        <v>718</v>
      </c>
      <c r="B2" t="str">
        <v>Descrição</v>
      </c>
    </row>
    <row r="3">
      <c r="A3">
        <v>30</v>
      </c>
      <c r="B3" t="str">
        <v>Amenitiz</v>
      </c>
    </row>
    <row r="4">
      <c r="A4">
        <v>615.31</v>
      </c>
      <c r="B4" t="str">
        <v>Condomínio</v>
      </c>
    </row>
    <row r="5">
      <c r="A5">
        <v>105.95</v>
      </c>
      <c r="B5" t="str">
        <v>Energia</v>
      </c>
    </row>
    <row r="6">
      <c r="A6">
        <v>213.77</v>
      </c>
      <c r="B6" t="str">
        <v>Lavanderia</v>
      </c>
    </row>
    <row r="7">
      <c r="A7">
        <v>90</v>
      </c>
      <c r="B7" t="str">
        <v>Manutenção</v>
      </c>
    </row>
    <row r="8">
      <c r="A8">
        <v>80.65</v>
      </c>
      <c r="B8" t="str">
        <v>Mercado</v>
      </c>
    </row>
    <row r="9">
      <c r="A9">
        <v>1135.68</v>
      </c>
      <c r="B9" t="str">
        <v/>
      </c>
    </row>
  </sheetData>
  <ignoredErrors>
    <ignoredError numberStoredAsText="1" sqref="A1:B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FEV</v>
      </c>
    </row>
    <row r="2">
      <c r="A2">
        <v>722</v>
      </c>
      <c r="B2" t="str">
        <v>Descrição</v>
      </c>
      <c r="C2">
        <v>1415</v>
      </c>
      <c r="D2" t="str">
        <v>Descrição</v>
      </c>
      <c r="E2">
        <v>1501</v>
      </c>
      <c r="F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30</v>
      </c>
      <c r="F3" t="str">
        <v>Amenitiz</v>
      </c>
    </row>
    <row r="4">
      <c r="A4">
        <v>1115.93</v>
      </c>
      <c r="B4" t="str">
        <v>Condomínio</v>
      </c>
      <c r="C4">
        <v>1234.75</v>
      </c>
      <c r="D4" t="str">
        <v>Condomínio</v>
      </c>
      <c r="E4">
        <v>1216.26</v>
      </c>
      <c r="F4" t="str">
        <v>Condomínio</v>
      </c>
    </row>
    <row r="5">
      <c r="A5">
        <v>174.1</v>
      </c>
      <c r="B5" t="str">
        <v>Energia</v>
      </c>
      <c r="C5">
        <v>193.46</v>
      </c>
      <c r="D5" t="str">
        <v>Energia</v>
      </c>
      <c r="E5">
        <v>118.9</v>
      </c>
      <c r="F5" t="str">
        <v>Energia</v>
      </c>
    </row>
    <row r="6">
      <c r="A6">
        <v>76.26</v>
      </c>
      <c r="B6" t="str">
        <v>Internet</v>
      </c>
      <c r="C6">
        <v>76.26</v>
      </c>
      <c r="D6" t="str">
        <v>Internet</v>
      </c>
      <c r="E6">
        <v>76.26</v>
      </c>
      <c r="F6" t="str">
        <v>Internet</v>
      </c>
    </row>
    <row r="7">
      <c r="A7">
        <v>213.77</v>
      </c>
      <c r="B7" t="str">
        <v>Lavanderia</v>
      </c>
      <c r="C7">
        <v>213.77</v>
      </c>
      <c r="D7" t="str">
        <v>Lavanderia</v>
      </c>
      <c r="E7">
        <v>213.77</v>
      </c>
      <c r="F7" t="str">
        <v>Lavanderia</v>
      </c>
    </row>
    <row r="8">
      <c r="A8">
        <v>90</v>
      </c>
      <c r="B8" t="str">
        <v>Manutenção</v>
      </c>
      <c r="C8">
        <v>90</v>
      </c>
      <c r="D8" t="str">
        <v>Manutenção</v>
      </c>
      <c r="E8">
        <v>90</v>
      </c>
      <c r="F8" t="str">
        <v>Manutenção</v>
      </c>
    </row>
    <row r="9">
      <c r="A9">
        <v>78.49</v>
      </c>
      <c r="B9" t="str">
        <v>chuverinho</v>
      </c>
      <c r="C9">
        <v>0</v>
      </c>
      <c r="D9" t="str">
        <v>Seguro</v>
      </c>
      <c r="E9">
        <v>0</v>
      </c>
      <c r="F9" t="str">
        <v>Seguro</v>
      </c>
    </row>
    <row r="10">
      <c r="A10">
        <v>80.65</v>
      </c>
      <c r="B10" t="str">
        <v>Mercado</v>
      </c>
      <c r="C10">
        <v>80.65</v>
      </c>
      <c r="D10" t="str">
        <v>Mercado</v>
      </c>
      <c r="E10">
        <v>80.65</v>
      </c>
      <c r="F10" t="str">
        <v>Mercado</v>
      </c>
    </row>
    <row r="11">
      <c r="A11">
        <v>1859.2</v>
      </c>
      <c r="B11" t="str">
        <v/>
      </c>
      <c r="C11">
        <v>1918.89</v>
      </c>
      <c r="D11" t="str">
        <v/>
      </c>
      <c r="E11">
        <v>1825.84</v>
      </c>
      <c r="F11" t="str">
        <v/>
      </c>
    </row>
  </sheetData>
  <ignoredErrors>
    <ignoredError numberStoredAsText="1" sqref="A1:F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7"/>
  <sheetViews>
    <sheetView workbookViewId="0" rightToLeft="0"/>
  </sheetViews>
  <sheetData>
    <row r="1">
      <c r="A1" t="str">
        <v>FEV</v>
      </c>
    </row>
    <row r="2">
      <c r="A2">
        <v>1311</v>
      </c>
      <c r="B2" t="str">
        <v>Descrição</v>
      </c>
      <c r="C2">
        <v>1312</v>
      </c>
      <c r="D2" t="str">
        <v>Descrição</v>
      </c>
      <c r="E2">
        <v>1419</v>
      </c>
      <c r="F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30</v>
      </c>
      <c r="F3" t="str">
        <v>Amenitiz</v>
      </c>
    </row>
    <row r="4">
      <c r="A4">
        <v>2149.47</v>
      </c>
      <c r="B4" t="str">
        <v>Condomínio</v>
      </c>
      <c r="C4">
        <v>1420.49</v>
      </c>
      <c r="D4" t="str">
        <v>Condomínio</v>
      </c>
      <c r="E4">
        <v>1420.49</v>
      </c>
      <c r="F4" t="str">
        <v>Condomínio</v>
      </c>
    </row>
    <row r="5">
      <c r="A5">
        <v>249.68</v>
      </c>
      <c r="B5" t="str">
        <v>Energia</v>
      </c>
      <c r="C5">
        <v>265.62</v>
      </c>
      <c r="D5" t="str">
        <v>Energia</v>
      </c>
      <c r="E5">
        <v>116.25</v>
      </c>
      <c r="F5" t="str">
        <v>Energia</v>
      </c>
    </row>
    <row r="6">
      <c r="A6">
        <v>0</v>
      </c>
      <c r="B6" t="str">
        <v>Gás</v>
      </c>
      <c r="C6">
        <v>0</v>
      </c>
      <c r="D6" t="str">
        <v>Gás</v>
      </c>
      <c r="E6">
        <v>0</v>
      </c>
      <c r="F6" t="str">
        <v>Gás</v>
      </c>
    </row>
    <row r="7">
      <c r="A7">
        <v>0</v>
      </c>
      <c r="B7" t="str">
        <v>Internet</v>
      </c>
      <c r="C7">
        <v>0</v>
      </c>
      <c r="D7" t="str">
        <v>Internet</v>
      </c>
      <c r="E7">
        <v>0</v>
      </c>
      <c r="F7" t="str">
        <v>Internet</v>
      </c>
    </row>
    <row r="8">
      <c r="A8">
        <v>148.33</v>
      </c>
      <c r="B8" t="str">
        <v>IPTU</v>
      </c>
      <c r="C8">
        <v>126.16</v>
      </c>
      <c r="D8" t="str">
        <v>IPTU</v>
      </c>
      <c r="E8">
        <v>170</v>
      </c>
      <c r="F8" t="str">
        <v>IPTU</v>
      </c>
    </row>
    <row r="9">
      <c r="A9">
        <v>213.77</v>
      </c>
      <c r="B9" t="str">
        <v>Lavanderia</v>
      </c>
      <c r="C9">
        <v>213.77</v>
      </c>
      <c r="D9" t="str">
        <v>Lavanderia</v>
      </c>
      <c r="E9">
        <v>213.77</v>
      </c>
      <c r="F9" t="str">
        <v>Lavanderia</v>
      </c>
    </row>
    <row r="10">
      <c r="A10">
        <v>90</v>
      </c>
      <c r="B10" t="str">
        <v>Manutenção</v>
      </c>
      <c r="C10">
        <v>90</v>
      </c>
      <c r="D10" t="str">
        <v>Manutenção</v>
      </c>
      <c r="E10">
        <v>90</v>
      </c>
      <c r="F10" t="str">
        <v>Manutenção</v>
      </c>
    </row>
    <row r="11">
      <c r="A11">
        <v>0</v>
      </c>
      <c r="B11" t="str">
        <v>Seguro</v>
      </c>
      <c r="C11">
        <v>0</v>
      </c>
      <c r="D11" t="str">
        <v>Seguro</v>
      </c>
      <c r="E11">
        <v>0</v>
      </c>
      <c r="F11" t="str">
        <v>Seguro</v>
      </c>
    </row>
    <row r="12">
      <c r="A12">
        <v>69.53</v>
      </c>
      <c r="B12" t="str">
        <v>Mercado</v>
      </c>
      <c r="C12">
        <v>69.53</v>
      </c>
      <c r="D12" t="str">
        <v>Mercado</v>
      </c>
      <c r="E12">
        <v>69.53</v>
      </c>
      <c r="F12" t="str">
        <v>Mercado</v>
      </c>
    </row>
    <row r="13">
      <c r="A13">
        <v>0</v>
      </c>
      <c r="B13" t="str">
        <v>Papelira</v>
      </c>
      <c r="C13">
        <v>0</v>
      </c>
      <c r="D13" t="str">
        <v>Papelira</v>
      </c>
      <c r="E13">
        <v>0</v>
      </c>
      <c r="F13" t="str">
        <v>Papelira</v>
      </c>
    </row>
    <row r="14">
      <c r="A14">
        <v>0</v>
      </c>
      <c r="C14">
        <v>0</v>
      </c>
      <c r="E14">
        <v>0</v>
      </c>
    </row>
    <row r="15">
      <c r="A15">
        <v>0</v>
      </c>
      <c r="C15">
        <v>0</v>
      </c>
      <c r="E15">
        <v>0</v>
      </c>
    </row>
    <row r="16">
      <c r="A16">
        <v>0</v>
      </c>
      <c r="C16">
        <v>0</v>
      </c>
      <c r="E16">
        <v>0</v>
      </c>
    </row>
    <row r="17">
      <c r="A17">
        <v>0</v>
      </c>
      <c r="C17">
        <v>0</v>
      </c>
      <c r="E17">
        <v>0</v>
      </c>
    </row>
    <row r="18">
      <c r="A18">
        <v>0</v>
      </c>
      <c r="C18">
        <v>0</v>
      </c>
      <c r="E18">
        <v>0</v>
      </c>
    </row>
    <row r="19">
      <c r="A19">
        <v>0</v>
      </c>
      <c r="C19">
        <v>0</v>
      </c>
      <c r="E19">
        <v>0</v>
      </c>
    </row>
    <row r="20">
      <c r="A20">
        <v>0</v>
      </c>
      <c r="C20">
        <v>0</v>
      </c>
      <c r="E20">
        <v>0</v>
      </c>
    </row>
    <row r="21">
      <c r="A21">
        <v>0</v>
      </c>
      <c r="C21">
        <v>0</v>
      </c>
      <c r="E21">
        <v>0</v>
      </c>
    </row>
    <row r="22">
      <c r="A22">
        <v>0</v>
      </c>
      <c r="C22">
        <v>0</v>
      </c>
      <c r="E22">
        <v>0</v>
      </c>
    </row>
    <row r="23">
      <c r="A23">
        <v>0</v>
      </c>
      <c r="C23">
        <v>0</v>
      </c>
      <c r="E23">
        <v>0</v>
      </c>
    </row>
    <row r="24">
      <c r="A24">
        <v>0</v>
      </c>
      <c r="C24">
        <v>0</v>
      </c>
      <c r="E24">
        <v>0</v>
      </c>
    </row>
    <row r="25">
      <c r="A25">
        <v>0</v>
      </c>
      <c r="C25">
        <v>0</v>
      </c>
      <c r="E25">
        <v>0</v>
      </c>
    </row>
    <row r="26">
      <c r="A26">
        <v>0</v>
      </c>
      <c r="C26">
        <v>0</v>
      </c>
      <c r="E26">
        <v>0</v>
      </c>
    </row>
    <row r="27">
      <c r="A27">
        <v>0</v>
      </c>
      <c r="C27">
        <v>0</v>
      </c>
      <c r="E27">
        <v>0</v>
      </c>
    </row>
    <row r="28">
      <c r="A28">
        <v>0</v>
      </c>
      <c r="C28">
        <v>0</v>
      </c>
      <c r="E28">
        <v>0</v>
      </c>
    </row>
    <row r="29">
      <c r="A29">
        <v>0</v>
      </c>
      <c r="C29">
        <v>0</v>
      </c>
      <c r="E29">
        <v>0</v>
      </c>
    </row>
    <row r="30">
      <c r="A30">
        <f>SUM(A3:A29)</f>
        <v>2950.78</v>
      </c>
      <c r="C30">
        <f>SUM(C3:C29)</f>
        <v>2215.57</v>
      </c>
      <c r="E30">
        <f>SUM(E3:E29)</f>
        <v>2110.04</v>
      </c>
    </row>
    <row r="31">
      <c r="A31" t="str">
        <v>TOTAL:</v>
      </c>
      <c r="B31">
        <f>A30+C30+E30+G30+I30+K30</f>
        <v>7276.39</v>
      </c>
    </row>
  </sheetData>
  <mergeCells count="2">
    <mergeCell ref="A1:K1"/>
    <mergeCell ref="B31:K31"/>
  </mergeCells>
  <ignoredErrors>
    <ignoredError numberStoredAsText="1" sqref="A1:F3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37"/>
  <sheetViews>
    <sheetView workbookViewId="0" rightToLeft="0"/>
  </sheetViews>
  <sheetData>
    <row r="1">
      <c r="A1" t="str">
        <v>FEV</v>
      </c>
    </row>
    <row r="2">
      <c r="A2" t="str">
        <v>1615A</v>
      </c>
      <c r="B2" t="str">
        <v>Descrição</v>
      </c>
      <c r="C2">
        <v>1615</v>
      </c>
      <c r="D2" t="str">
        <v>Descrição</v>
      </c>
      <c r="E2" t="str">
        <v>1615A - 1615</v>
      </c>
      <c r="F2" t="str">
        <v>Descrição</v>
      </c>
      <c r="G2">
        <v>1605</v>
      </c>
      <c r="H2" t="str">
        <v>Descrição</v>
      </c>
      <c r="I2">
        <v>1701</v>
      </c>
      <c r="J2" t="str">
        <v>Descrição</v>
      </c>
      <c r="K2" t="str">
        <v>1701A</v>
      </c>
      <c r="L2" t="str">
        <v>Descrição</v>
      </c>
      <c r="M2" t="str">
        <v>1701 - 1701A</v>
      </c>
      <c r="N2" t="str">
        <v>Descrição</v>
      </c>
    </row>
    <row r="3">
      <c r="A3">
        <v>0</v>
      </c>
      <c r="B3" t="str">
        <v>Amenitiz</v>
      </c>
      <c r="C3">
        <v>0</v>
      </c>
      <c r="D3" t="str">
        <v>Amenitiz</v>
      </c>
      <c r="E3">
        <v>60</v>
      </c>
      <c r="F3" t="str">
        <v>Amenitiz</v>
      </c>
      <c r="G3">
        <v>30</v>
      </c>
      <c r="H3" t="str">
        <v>Amenitiz</v>
      </c>
      <c r="I3">
        <v>0</v>
      </c>
      <c r="J3" t="str">
        <v>Amenitiz</v>
      </c>
      <c r="K3">
        <v>0</v>
      </c>
      <c r="L3" t="str">
        <v>Amenitiz</v>
      </c>
      <c r="M3">
        <v>60</v>
      </c>
      <c r="N3" t="str">
        <v>Amenitiz</v>
      </c>
    </row>
    <row r="4">
      <c r="A4">
        <v>0</v>
      </c>
      <c r="B4" t="str">
        <v>Condomínio</v>
      </c>
      <c r="C4">
        <v>0</v>
      </c>
      <c r="D4" t="str">
        <v>Condomínio</v>
      </c>
      <c r="E4">
        <f>2366.28+314.44</f>
        <v>2680.72</v>
      </c>
      <c r="F4" t="str">
        <v>Condomínio</v>
      </c>
      <c r="G4">
        <v>0</v>
      </c>
      <c r="H4" t="str">
        <v>Condomínio</v>
      </c>
      <c r="I4">
        <v>0</v>
      </c>
      <c r="J4" t="str">
        <v>Condomínio</v>
      </c>
      <c r="K4">
        <v>0</v>
      </c>
      <c r="L4" t="str">
        <v>Condomínio</v>
      </c>
      <c r="M4">
        <f>2366.28+292</f>
        <v>2658.28</v>
      </c>
      <c r="N4" t="str">
        <v>Condomínio</v>
      </c>
    </row>
    <row r="5">
      <c r="A5">
        <v>0</v>
      </c>
      <c r="B5" t="str">
        <v>Energia</v>
      </c>
      <c r="C5">
        <v>0</v>
      </c>
      <c r="D5" t="str">
        <v>Energia</v>
      </c>
      <c r="E5">
        <v>477.36</v>
      </c>
      <c r="F5" t="str">
        <v>Energia</v>
      </c>
      <c r="G5">
        <v>170.09</v>
      </c>
      <c r="H5" t="str">
        <v>Energia</v>
      </c>
      <c r="I5">
        <v>0</v>
      </c>
      <c r="J5" t="str">
        <v>Energia</v>
      </c>
      <c r="K5">
        <v>0</v>
      </c>
      <c r="L5" t="str">
        <v>Energia</v>
      </c>
      <c r="M5">
        <v>268.85</v>
      </c>
      <c r="N5" t="str">
        <v>Energia</v>
      </c>
    </row>
    <row r="6">
      <c r="A6">
        <v>0</v>
      </c>
      <c r="B6" t="str">
        <v>Gás</v>
      </c>
      <c r="C6">
        <v>0</v>
      </c>
      <c r="D6" t="str">
        <v>Gás</v>
      </c>
      <c r="E6">
        <v>0</v>
      </c>
      <c r="F6" t="str">
        <v>Gás</v>
      </c>
      <c r="G6">
        <v>0</v>
      </c>
      <c r="H6" t="str">
        <v>Gás</v>
      </c>
      <c r="I6">
        <v>0</v>
      </c>
      <c r="J6" t="str">
        <v>Gás</v>
      </c>
      <c r="K6">
        <v>0</v>
      </c>
      <c r="L6" t="str">
        <v>Gás</v>
      </c>
      <c r="M6">
        <v>0</v>
      </c>
      <c r="N6" t="str">
        <v>Gás</v>
      </c>
    </row>
    <row r="7">
      <c r="A7">
        <v>0</v>
      </c>
      <c r="B7" t="str">
        <v>Internet</v>
      </c>
      <c r="C7">
        <v>0</v>
      </c>
      <c r="D7" t="str">
        <v>Internet</v>
      </c>
      <c r="E7">
        <v>0</v>
      </c>
      <c r="F7" t="str">
        <v>Internet</v>
      </c>
      <c r="G7">
        <v>0</v>
      </c>
      <c r="H7" t="str">
        <v>Internet</v>
      </c>
      <c r="I7">
        <v>0</v>
      </c>
      <c r="J7" t="str">
        <v>Internet</v>
      </c>
      <c r="K7">
        <v>0</v>
      </c>
      <c r="L7" t="str">
        <v>Internet</v>
      </c>
      <c r="M7">
        <v>0</v>
      </c>
      <c r="N7" t="str">
        <v>Internet</v>
      </c>
    </row>
    <row r="8">
      <c r="A8">
        <v>0</v>
      </c>
      <c r="B8" t="str">
        <v>IPTU</v>
      </c>
      <c r="C8">
        <v>0</v>
      </c>
      <c r="D8" t="str">
        <v>IPTU</v>
      </c>
      <c r="E8">
        <v>143.24</v>
      </c>
      <c r="F8" t="str">
        <v>IPTU</v>
      </c>
      <c r="G8">
        <v>93.95</v>
      </c>
      <c r="H8" t="str">
        <v>IPTU</v>
      </c>
      <c r="I8">
        <v>0</v>
      </c>
      <c r="J8" t="str">
        <v>IPTU</v>
      </c>
      <c r="K8">
        <v>0</v>
      </c>
      <c r="L8" t="str">
        <v>IPTU</v>
      </c>
      <c r="M8">
        <v>127.45</v>
      </c>
      <c r="N8" t="str">
        <v>IPTU</v>
      </c>
    </row>
    <row r="9">
      <c r="B9" t="str">
        <v>Lavanderia</v>
      </c>
      <c r="C9">
        <v>0</v>
      </c>
      <c r="D9" t="str">
        <v>Lavanderia</v>
      </c>
      <c r="E9">
        <f>213.77*2</f>
        <v>427.54</v>
      </c>
      <c r="F9" t="str">
        <v>Lavanderia</v>
      </c>
      <c r="G9">
        <v>213.77</v>
      </c>
      <c r="H9" t="str">
        <v>Lavanderia</v>
      </c>
      <c r="I9">
        <v>0</v>
      </c>
      <c r="J9" t="str">
        <v>Lavanderia</v>
      </c>
      <c r="K9">
        <v>0</v>
      </c>
      <c r="L9" t="str">
        <v>Lavanderia</v>
      </c>
      <c r="M9">
        <f>213.77*2</f>
        <v>427.54</v>
      </c>
      <c r="N9" t="str">
        <v>Lavanderia</v>
      </c>
    </row>
    <row r="10">
      <c r="A10">
        <v>0</v>
      </c>
      <c r="B10" t="str">
        <v>Manutenção</v>
      </c>
      <c r="C10">
        <v>0</v>
      </c>
      <c r="D10" t="str">
        <v>Manutenção</v>
      </c>
      <c r="E10">
        <v>180</v>
      </c>
      <c r="F10" t="str">
        <v>Manutenção</v>
      </c>
      <c r="G10">
        <f>90+34.99</f>
        <v>124.99</v>
      </c>
      <c r="H10" t="str">
        <v>Manutenção</v>
      </c>
      <c r="I10">
        <v>0</v>
      </c>
      <c r="J10" t="str">
        <v>Manutenção</v>
      </c>
      <c r="K10">
        <v>0</v>
      </c>
      <c r="L10" t="str">
        <v>Manutenção</v>
      </c>
      <c r="M10">
        <v>90</v>
      </c>
      <c r="N10" t="str">
        <v>Manutenção</v>
      </c>
    </row>
    <row r="11">
      <c r="A11">
        <v>0</v>
      </c>
      <c r="B11" t="str">
        <v>Seguro</v>
      </c>
      <c r="C11">
        <v>0</v>
      </c>
      <c r="D11" t="str">
        <v>Seguro</v>
      </c>
      <c r="E11">
        <v>0</v>
      </c>
      <c r="F11" t="str">
        <v>Seguro</v>
      </c>
      <c r="G11">
        <v>0</v>
      </c>
      <c r="H11" t="str">
        <v>Seguro</v>
      </c>
      <c r="I11">
        <v>0</v>
      </c>
      <c r="J11" t="str">
        <v>Seguro</v>
      </c>
      <c r="K11">
        <v>0</v>
      </c>
      <c r="L11" t="str">
        <v>Seguro</v>
      </c>
      <c r="M11">
        <v>0</v>
      </c>
      <c r="N11" t="str">
        <v>Seguro</v>
      </c>
    </row>
    <row r="12">
      <c r="A12">
        <v>0</v>
      </c>
      <c r="B12" t="str">
        <v>Mercado</v>
      </c>
      <c r="C12">
        <v>0</v>
      </c>
      <c r="D12" t="str">
        <v>Mercado</v>
      </c>
      <c r="E12">
        <f>120.19*2</f>
        <v>240.38</v>
      </c>
      <c r="F12" t="str">
        <v>Mercado</v>
      </c>
      <c r="G12">
        <v>120.19</v>
      </c>
      <c r="H12" t="str">
        <v>Mercado</v>
      </c>
      <c r="I12">
        <v>0</v>
      </c>
      <c r="J12" t="str">
        <v>Mercado</v>
      </c>
      <c r="K12">
        <v>0</v>
      </c>
      <c r="L12" t="str">
        <v>Mercado</v>
      </c>
      <c r="M12">
        <f>120.19*2</f>
        <v>240.38</v>
      </c>
      <c r="N12" t="str">
        <v>Mercado</v>
      </c>
    </row>
    <row r="13">
      <c r="A13">
        <v>0</v>
      </c>
      <c r="B13" t="str">
        <v>Papelira</v>
      </c>
      <c r="C13">
        <v>0</v>
      </c>
      <c r="D13" t="str">
        <v>Papelira</v>
      </c>
      <c r="E13">
        <v>0</v>
      </c>
      <c r="F13" t="str">
        <v>Papelira</v>
      </c>
      <c r="G13">
        <v>0</v>
      </c>
      <c r="H13" t="str">
        <v>Papelira</v>
      </c>
      <c r="I13">
        <v>0</v>
      </c>
      <c r="J13" t="str">
        <v>Papelira</v>
      </c>
      <c r="K13">
        <v>0</v>
      </c>
      <c r="L13" t="str">
        <v>Papelira</v>
      </c>
      <c r="M13">
        <v>0</v>
      </c>
      <c r="N13" t="str">
        <v>enxoval</v>
      </c>
    </row>
    <row r="14">
      <c r="A14">
        <v>0</v>
      </c>
      <c r="C14">
        <v>0</v>
      </c>
      <c r="E14">
        <v>0</v>
      </c>
      <c r="G14">
        <v>0</v>
      </c>
      <c r="I14">
        <v>0</v>
      </c>
      <c r="K14">
        <v>0</v>
      </c>
      <c r="M14">
        <v>0</v>
      </c>
    </row>
    <row r="15">
      <c r="A15">
        <v>0</v>
      </c>
      <c r="C15">
        <v>0</v>
      </c>
      <c r="E15">
        <v>0</v>
      </c>
      <c r="G15">
        <v>0</v>
      </c>
      <c r="I15">
        <v>0</v>
      </c>
      <c r="K15">
        <v>0</v>
      </c>
      <c r="M15">
        <v>0</v>
      </c>
    </row>
    <row r="16">
      <c r="A16">
        <v>0</v>
      </c>
      <c r="C16">
        <v>0</v>
      </c>
      <c r="E16">
        <v>0</v>
      </c>
      <c r="G16">
        <v>0</v>
      </c>
      <c r="I16">
        <v>0</v>
      </c>
      <c r="K16">
        <v>0</v>
      </c>
      <c r="M16">
        <v>0</v>
      </c>
    </row>
    <row r="17">
      <c r="A17">
        <v>0</v>
      </c>
      <c r="C17">
        <v>0</v>
      </c>
      <c r="E17">
        <v>0</v>
      </c>
      <c r="G17">
        <v>0</v>
      </c>
      <c r="I17">
        <v>0</v>
      </c>
      <c r="K17">
        <v>0</v>
      </c>
      <c r="M17">
        <v>0</v>
      </c>
    </row>
    <row r="18">
      <c r="A18">
        <v>0</v>
      </c>
      <c r="C18">
        <v>0</v>
      </c>
      <c r="E18">
        <v>0</v>
      </c>
      <c r="G18">
        <v>0</v>
      </c>
      <c r="I18">
        <v>0</v>
      </c>
      <c r="K18">
        <v>0</v>
      </c>
      <c r="M18">
        <v>0</v>
      </c>
    </row>
    <row r="19">
      <c r="A19">
        <v>0</v>
      </c>
      <c r="C19">
        <v>0</v>
      </c>
      <c r="E19">
        <v>0</v>
      </c>
      <c r="G19">
        <v>0</v>
      </c>
      <c r="I19">
        <v>0</v>
      </c>
      <c r="K19">
        <v>0</v>
      </c>
      <c r="M19">
        <v>0</v>
      </c>
    </row>
    <row r="20">
      <c r="A20">
        <v>0</v>
      </c>
      <c r="C20">
        <v>0</v>
      </c>
      <c r="E20">
        <v>0</v>
      </c>
      <c r="G20">
        <v>0</v>
      </c>
      <c r="I20">
        <v>0</v>
      </c>
      <c r="K20">
        <v>0</v>
      </c>
      <c r="M20">
        <v>0</v>
      </c>
    </row>
    <row r="21">
      <c r="A21">
        <v>0</v>
      </c>
      <c r="C21">
        <v>0</v>
      </c>
      <c r="E21">
        <v>0</v>
      </c>
      <c r="G21">
        <v>0</v>
      </c>
      <c r="I21">
        <v>0</v>
      </c>
      <c r="K21">
        <v>0</v>
      </c>
      <c r="M21">
        <v>0</v>
      </c>
    </row>
    <row r="22">
      <c r="A22">
        <v>0</v>
      </c>
      <c r="C22">
        <v>0</v>
      </c>
      <c r="E22">
        <v>0</v>
      </c>
      <c r="G22">
        <v>0</v>
      </c>
      <c r="I22">
        <v>0</v>
      </c>
      <c r="K22">
        <v>0</v>
      </c>
      <c r="M22">
        <v>0</v>
      </c>
    </row>
    <row r="23">
      <c r="A23">
        <v>0</v>
      </c>
      <c r="C23">
        <v>0</v>
      </c>
      <c r="E23">
        <v>0</v>
      </c>
      <c r="G23">
        <v>0</v>
      </c>
      <c r="I23">
        <v>0</v>
      </c>
      <c r="K23">
        <v>0</v>
      </c>
      <c r="M23">
        <v>0</v>
      </c>
    </row>
    <row r="24">
      <c r="A24">
        <v>0</v>
      </c>
      <c r="C24">
        <v>0</v>
      </c>
      <c r="E24">
        <v>0</v>
      </c>
      <c r="G24">
        <v>0</v>
      </c>
      <c r="I24">
        <v>0</v>
      </c>
      <c r="K24">
        <v>0</v>
      </c>
      <c r="M24">
        <v>0</v>
      </c>
    </row>
    <row r="25">
      <c r="A25">
        <v>0</v>
      </c>
      <c r="C25">
        <v>0</v>
      </c>
      <c r="E25">
        <v>0</v>
      </c>
      <c r="G25">
        <v>0</v>
      </c>
      <c r="I25">
        <v>0</v>
      </c>
      <c r="K25">
        <v>0</v>
      </c>
      <c r="M25">
        <v>0</v>
      </c>
    </row>
    <row r="26">
      <c r="A26">
        <v>0</v>
      </c>
      <c r="C26">
        <v>0</v>
      </c>
      <c r="E26">
        <v>0</v>
      </c>
      <c r="G26">
        <v>0</v>
      </c>
      <c r="I26">
        <v>0</v>
      </c>
      <c r="K26">
        <v>0</v>
      </c>
      <c r="M26">
        <v>0</v>
      </c>
    </row>
    <row r="27">
      <c r="A27">
        <v>0</v>
      </c>
      <c r="C27">
        <v>0</v>
      </c>
      <c r="E27">
        <v>0</v>
      </c>
      <c r="G27">
        <v>0</v>
      </c>
      <c r="I27">
        <v>0</v>
      </c>
      <c r="K27">
        <v>0</v>
      </c>
      <c r="M27">
        <v>0</v>
      </c>
    </row>
    <row r="28">
      <c r="A28">
        <v>0</v>
      </c>
      <c r="C28">
        <v>0</v>
      </c>
      <c r="E28">
        <v>0</v>
      </c>
      <c r="G28">
        <v>0</v>
      </c>
      <c r="I28">
        <v>0</v>
      </c>
      <c r="K28">
        <v>0</v>
      </c>
      <c r="M28">
        <v>0</v>
      </c>
    </row>
    <row r="29">
      <c r="A29">
        <v>0</v>
      </c>
      <c r="C29">
        <v>0</v>
      </c>
      <c r="E29">
        <v>0</v>
      </c>
      <c r="G29">
        <v>0</v>
      </c>
      <c r="I29">
        <v>0</v>
      </c>
      <c r="K29">
        <v>0</v>
      </c>
      <c r="M29">
        <v>0</v>
      </c>
    </row>
    <row r="30">
      <c r="A30">
        <f>SUM(A3:A29)</f>
        <v>0</v>
      </c>
      <c r="C30">
        <f>SUM(C3:C29)</f>
        <v>0</v>
      </c>
      <c r="E30">
        <f>SUM(E3:E29)</f>
        <v>4209.24</v>
      </c>
      <c r="G30">
        <f>SUM(G3:G29)</f>
        <v>752.99</v>
      </c>
      <c r="I30">
        <f>SUM(I3:I29)</f>
        <v>0</v>
      </c>
      <c r="K30">
        <f>SUM(K3:K29)</f>
        <v>0</v>
      </c>
      <c r="M30">
        <f>SUM(M3:M29)</f>
        <v>3872.5</v>
      </c>
    </row>
    <row r="31">
      <c r="A31" t="str">
        <v>TOTAL:</v>
      </c>
      <c r="B31">
        <f>A30+C30+E30+G30+I30+K30+M30</f>
        <v>8834.73</v>
      </c>
    </row>
  </sheetData>
  <mergeCells count="2">
    <mergeCell ref="A1:N1"/>
    <mergeCell ref="B31:K31"/>
  </mergeCells>
  <ignoredErrors>
    <ignoredError numberStoredAsText="1" sqref="A1:N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7"/>
  <sheetViews>
    <sheetView workbookViewId="0" rightToLeft="0"/>
  </sheetViews>
  <sheetData>
    <row r="1">
      <c r="A1" t="str">
        <v>FEV</v>
      </c>
    </row>
    <row r="2">
      <c r="A2">
        <v>106</v>
      </c>
      <c r="B2" t="str">
        <v>Descrição</v>
      </c>
      <c r="C2">
        <v>606</v>
      </c>
      <c r="D2" t="str">
        <v>Descrição</v>
      </c>
      <c r="E2" t="str">
        <v>-</v>
      </c>
      <c r="F2" t="str">
        <v>Descrição</v>
      </c>
      <c r="G2" t="str">
        <v>-</v>
      </c>
      <c r="H2" t="str">
        <v>Descrição</v>
      </c>
      <c r="I2" t="str">
        <v>-</v>
      </c>
      <c r="J2" t="str">
        <v>Descrição</v>
      </c>
      <c r="K2" t="str">
        <v>-</v>
      </c>
      <c r="L2" t="str">
        <v>Descrição</v>
      </c>
      <c r="M2" t="str">
        <v>-</v>
      </c>
      <c r="N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0</v>
      </c>
      <c r="F3" t="str">
        <v>Amenitiz</v>
      </c>
      <c r="G3">
        <v>0</v>
      </c>
      <c r="H3" t="str">
        <v>Amenitiz</v>
      </c>
      <c r="I3">
        <v>0</v>
      </c>
      <c r="J3" t="str">
        <v>Amenitiz</v>
      </c>
      <c r="K3">
        <v>0</v>
      </c>
      <c r="L3" t="str">
        <v>Amenitiz</v>
      </c>
      <c r="M3">
        <v>0</v>
      </c>
      <c r="N3" t="str">
        <v>Amenitiz</v>
      </c>
    </row>
    <row r="4">
      <c r="A4">
        <v>2015.61</v>
      </c>
      <c r="B4" t="str">
        <v>Condomínio</v>
      </c>
      <c r="C4">
        <v>2015.61</v>
      </c>
      <c r="D4" t="str">
        <v>Condomínio</v>
      </c>
      <c r="E4">
        <v>0</v>
      </c>
      <c r="F4" t="str">
        <v>Condomínio</v>
      </c>
      <c r="G4">
        <v>0</v>
      </c>
      <c r="H4" t="str">
        <v>Condomínio</v>
      </c>
      <c r="I4">
        <v>0</v>
      </c>
      <c r="J4" t="str">
        <v>Condomínio</v>
      </c>
      <c r="K4">
        <v>0</v>
      </c>
      <c r="L4" t="str">
        <v>Condomínio</v>
      </c>
      <c r="M4">
        <v>0</v>
      </c>
      <c r="N4" t="str">
        <v>Condomínio</v>
      </c>
    </row>
    <row r="5">
      <c r="A5">
        <v>213.77</v>
      </c>
      <c r="B5" t="str">
        <v>Lavanderia</v>
      </c>
      <c r="C5">
        <v>213.77</v>
      </c>
      <c r="D5" t="str">
        <v>Lavanderia</v>
      </c>
      <c r="E5">
        <v>0</v>
      </c>
      <c r="F5" t="str">
        <v>Lavanderia</v>
      </c>
      <c r="G5">
        <v>0</v>
      </c>
      <c r="H5" t="str">
        <v>Lavanderia</v>
      </c>
      <c r="I5">
        <v>0</v>
      </c>
      <c r="J5" t="str">
        <v>Lavanderia</v>
      </c>
      <c r="K5">
        <v>0</v>
      </c>
      <c r="L5" t="str">
        <v>Lavanderia</v>
      </c>
      <c r="M5">
        <v>0</v>
      </c>
      <c r="N5" t="str">
        <v>Lavanderia</v>
      </c>
    </row>
    <row r="6">
      <c r="A6">
        <v>90</v>
      </c>
      <c r="B6" t="str">
        <v>Manutenção</v>
      </c>
      <c r="C6">
        <v>90</v>
      </c>
      <c r="D6" t="str">
        <v>Manutenção</v>
      </c>
      <c r="E6">
        <v>0</v>
      </c>
      <c r="F6" t="str">
        <v>Manutenção</v>
      </c>
      <c r="G6">
        <v>0</v>
      </c>
      <c r="H6" t="str">
        <v>Manutenção</v>
      </c>
      <c r="I6">
        <v>0</v>
      </c>
      <c r="J6" t="str">
        <v>Manutenção</v>
      </c>
      <c r="K6">
        <v>0</v>
      </c>
      <c r="L6" t="str">
        <v>Manutenção</v>
      </c>
      <c r="M6">
        <v>0</v>
      </c>
      <c r="N6" t="str">
        <v>Manutenção</v>
      </c>
    </row>
    <row r="7">
      <c r="A7">
        <v>2349.38</v>
      </c>
      <c r="B7" t="str">
        <v/>
      </c>
      <c r="C7">
        <v>2349.38</v>
      </c>
      <c r="D7" t="str">
        <v/>
      </c>
      <c r="E7">
        <v>0</v>
      </c>
      <c r="F7" t="str">
        <v/>
      </c>
      <c r="G7">
        <v>0</v>
      </c>
      <c r="H7" t="str">
        <v/>
      </c>
      <c r="I7">
        <v>0</v>
      </c>
      <c r="J7" t="str">
        <v/>
      </c>
      <c r="K7">
        <v>0</v>
      </c>
      <c r="L7" t="str">
        <v/>
      </c>
      <c r="M7">
        <v>0</v>
      </c>
      <c r="N7" t="str">
        <v/>
      </c>
    </row>
  </sheetData>
  <ignoredErrors>
    <ignoredError numberStoredAsText="1" sqref="A1:N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workbookViewId="0" rightToLeft="0"/>
  </sheetViews>
  <sheetData>
    <row r="1">
      <c r="A1" t="str">
        <v>FEV</v>
      </c>
    </row>
    <row r="2">
      <c r="A2" t="str">
        <v>D137</v>
      </c>
      <c r="B2" t="str">
        <v>Descrição</v>
      </c>
      <c r="C2" t="str">
        <v>D138</v>
      </c>
      <c r="D2" t="str">
        <v>Descrição</v>
      </c>
      <c r="E2" t="str">
        <v>E016</v>
      </c>
      <c r="F2" t="str">
        <v>Descrição</v>
      </c>
      <c r="G2" t="str">
        <v>B119</v>
      </c>
      <c r="H2" t="str">
        <v>Descrição</v>
      </c>
    </row>
    <row r="3">
      <c r="A3">
        <v>30</v>
      </c>
      <c r="B3" t="str">
        <v>Amenitiz</v>
      </c>
      <c r="C3">
        <v>30</v>
      </c>
      <c r="D3" t="str">
        <v>Amenitiz</v>
      </c>
      <c r="E3">
        <v>30</v>
      </c>
      <c r="F3" t="str">
        <v>Amenitiz</v>
      </c>
      <c r="G3">
        <v>30</v>
      </c>
      <c r="H3" t="str">
        <v>Amenitiz</v>
      </c>
    </row>
    <row r="4">
      <c r="A4">
        <f>40+2379.26</f>
        <v>2419.26</v>
      </c>
      <c r="B4" t="str">
        <v>Condomínio</v>
      </c>
      <c r="C4">
        <v>1611.88</v>
      </c>
      <c r="D4" t="str">
        <v>Condomínio</v>
      </c>
      <c r="E4">
        <v>2653.16</v>
      </c>
      <c r="F4" t="str">
        <v>Condomínio</v>
      </c>
      <c r="G4">
        <v>1998.81</v>
      </c>
      <c r="H4" t="str">
        <v>Condomínio</v>
      </c>
    </row>
    <row r="5">
      <c r="A5">
        <v>536.15</v>
      </c>
      <c r="B5" t="str">
        <v>Energia</v>
      </c>
      <c r="C5">
        <v>197.35</v>
      </c>
      <c r="D5" t="str">
        <v>Energia</v>
      </c>
      <c r="E5">
        <v>0</v>
      </c>
      <c r="F5" t="str">
        <v>Energia</v>
      </c>
      <c r="G5">
        <v>0</v>
      </c>
      <c r="H5" t="str">
        <v>Energia</v>
      </c>
    </row>
    <row r="6">
      <c r="A6">
        <v>0</v>
      </c>
      <c r="B6" t="str">
        <v>Gás</v>
      </c>
      <c r="C6">
        <v>0</v>
      </c>
      <c r="D6" t="str">
        <v>Gás</v>
      </c>
      <c r="E6">
        <v>0</v>
      </c>
      <c r="F6" t="str">
        <v>Gás</v>
      </c>
      <c r="G6">
        <v>0</v>
      </c>
      <c r="H6" t="str">
        <v>Gás</v>
      </c>
    </row>
    <row r="7">
      <c r="A7">
        <v>65.84</v>
      </c>
      <c r="B7" t="str">
        <v>Internet</v>
      </c>
      <c r="C7">
        <v>65.84</v>
      </c>
      <c r="D7" t="str">
        <v>Internet</v>
      </c>
      <c r="E7">
        <v>0</v>
      </c>
      <c r="F7" t="str">
        <v>Internet</v>
      </c>
      <c r="G7">
        <v>0</v>
      </c>
      <c r="H7" t="str">
        <v>Internet</v>
      </c>
    </row>
    <row r="8">
      <c r="A8">
        <v>66.1</v>
      </c>
      <c r="B8" t="str">
        <v>IPTU</v>
      </c>
      <c r="C8">
        <v>66.1</v>
      </c>
      <c r="D8" t="str">
        <v>IPTU</v>
      </c>
      <c r="E8">
        <v>0</v>
      </c>
      <c r="F8" t="str">
        <v>IPTU</v>
      </c>
      <c r="G8">
        <v>0</v>
      </c>
      <c r="H8" t="str">
        <v>IPTU</v>
      </c>
    </row>
    <row r="9">
      <c r="A9">
        <v>213.77</v>
      </c>
      <c r="B9" t="str">
        <v>Lavanderia</v>
      </c>
      <c r="C9">
        <v>213.77</v>
      </c>
      <c r="D9" t="str">
        <v>Lavanderia</v>
      </c>
      <c r="E9">
        <v>213.77</v>
      </c>
      <c r="F9" t="str">
        <v>Lavanderia</v>
      </c>
      <c r="G9">
        <v>213.77</v>
      </c>
      <c r="H9" t="str">
        <v>Lavanderia</v>
      </c>
    </row>
    <row r="10">
      <c r="A10">
        <v>90</v>
      </c>
      <c r="B10" t="str">
        <v>Manutenção</v>
      </c>
      <c r="C10">
        <v>90</v>
      </c>
      <c r="D10" t="str">
        <v>Manutenção</v>
      </c>
      <c r="E10">
        <v>90</v>
      </c>
      <c r="F10" t="str">
        <v>Manutenção</v>
      </c>
      <c r="G10">
        <v>90</v>
      </c>
      <c r="H10" t="str">
        <v>Manutenção</v>
      </c>
    </row>
    <row r="11">
      <c r="A11">
        <v>0</v>
      </c>
      <c r="B11" t="str">
        <v>Seguro</v>
      </c>
      <c r="C11">
        <v>0</v>
      </c>
      <c r="D11" t="str">
        <v>Seguro</v>
      </c>
      <c r="E11">
        <v>0</v>
      </c>
      <c r="F11" t="str">
        <v>Seguro</v>
      </c>
      <c r="G11">
        <v>0</v>
      </c>
      <c r="H11" t="str">
        <v>Seguro</v>
      </c>
    </row>
    <row r="12">
      <c r="A12">
        <v>0</v>
      </c>
      <c r="B12" t="str">
        <v>Mercado</v>
      </c>
      <c r="C12">
        <v>0</v>
      </c>
      <c r="D12" t="str">
        <v>Mercado</v>
      </c>
      <c r="E12">
        <v>0</v>
      </c>
      <c r="F12" t="str">
        <v>Mercado</v>
      </c>
      <c r="G12">
        <v>0</v>
      </c>
      <c r="H12" t="str">
        <v>Mercado</v>
      </c>
    </row>
    <row r="13">
      <c r="A13">
        <v>0</v>
      </c>
      <c r="C13">
        <v>0</v>
      </c>
      <c r="E13">
        <v>0</v>
      </c>
      <c r="G13">
        <v>0</v>
      </c>
    </row>
    <row r="14">
      <c r="A14">
        <v>0</v>
      </c>
      <c r="C14">
        <v>0</v>
      </c>
      <c r="E14">
        <v>0</v>
      </c>
      <c r="G14">
        <v>0</v>
      </c>
    </row>
    <row r="15">
      <c r="A15">
        <v>0</v>
      </c>
      <c r="C15">
        <v>0</v>
      </c>
      <c r="E15">
        <v>0</v>
      </c>
      <c r="G15">
        <v>0</v>
      </c>
    </row>
    <row r="16">
      <c r="A16">
        <v>0</v>
      </c>
      <c r="C16">
        <v>0</v>
      </c>
      <c r="E16">
        <v>0</v>
      </c>
      <c r="G16">
        <v>0</v>
      </c>
    </row>
    <row r="17">
      <c r="A17">
        <v>0</v>
      </c>
      <c r="C17">
        <v>0</v>
      </c>
      <c r="E17">
        <v>0</v>
      </c>
      <c r="G17">
        <v>0</v>
      </c>
    </row>
    <row r="18">
      <c r="A18">
        <v>0</v>
      </c>
      <c r="C18">
        <v>0</v>
      </c>
      <c r="E18">
        <v>0</v>
      </c>
      <c r="G18">
        <v>0</v>
      </c>
    </row>
    <row r="19">
      <c r="A19">
        <v>0</v>
      </c>
      <c r="C19">
        <v>0</v>
      </c>
      <c r="E19">
        <v>0</v>
      </c>
      <c r="G19">
        <v>0</v>
      </c>
    </row>
    <row r="20">
      <c r="A20">
        <v>0</v>
      </c>
      <c r="C20">
        <v>0</v>
      </c>
      <c r="E20">
        <v>0</v>
      </c>
      <c r="G20">
        <v>0</v>
      </c>
    </row>
    <row r="21">
      <c r="A21">
        <v>0</v>
      </c>
      <c r="C21">
        <v>0</v>
      </c>
      <c r="E21">
        <v>0</v>
      </c>
      <c r="G21">
        <v>0</v>
      </c>
    </row>
    <row r="22">
      <c r="A22">
        <v>0</v>
      </c>
      <c r="C22">
        <v>0</v>
      </c>
      <c r="E22">
        <v>0</v>
      </c>
      <c r="G22">
        <v>0</v>
      </c>
    </row>
    <row r="23">
      <c r="A23">
        <v>0</v>
      </c>
      <c r="C23">
        <v>0</v>
      </c>
      <c r="E23">
        <v>0</v>
      </c>
      <c r="G23">
        <v>0</v>
      </c>
    </row>
    <row r="24">
      <c r="A24">
        <v>0</v>
      </c>
      <c r="C24">
        <v>0</v>
      </c>
      <c r="E24">
        <v>0</v>
      </c>
      <c r="G24">
        <v>0</v>
      </c>
    </row>
    <row r="25">
      <c r="A25">
        <v>0</v>
      </c>
      <c r="C25">
        <v>0</v>
      </c>
      <c r="E25">
        <v>0</v>
      </c>
      <c r="G25">
        <v>0</v>
      </c>
    </row>
    <row r="26">
      <c r="A26">
        <v>0</v>
      </c>
      <c r="C26">
        <v>0</v>
      </c>
      <c r="E26">
        <v>0</v>
      </c>
      <c r="G26">
        <v>0</v>
      </c>
    </row>
    <row r="27">
      <c r="A27">
        <v>0</v>
      </c>
      <c r="C27">
        <v>0</v>
      </c>
      <c r="E27">
        <v>0</v>
      </c>
      <c r="G27">
        <v>0</v>
      </c>
    </row>
    <row r="28">
      <c r="A28">
        <v>0</v>
      </c>
      <c r="C28">
        <v>0</v>
      </c>
      <c r="E28">
        <v>0</v>
      </c>
      <c r="G28">
        <v>0</v>
      </c>
    </row>
    <row r="29">
      <c r="A29">
        <v>0</v>
      </c>
      <c r="C29">
        <v>0</v>
      </c>
      <c r="E29">
        <v>0</v>
      </c>
      <c r="G29">
        <v>0</v>
      </c>
    </row>
    <row r="30">
      <c r="A30">
        <f>SUM(A3:A29)</f>
        <v>3421.12</v>
      </c>
      <c r="C30">
        <f>SUM(C3:C29)</f>
        <v>2274.94</v>
      </c>
      <c r="E30">
        <f>SUM(E3:E29)</f>
        <v>2986.93</v>
      </c>
      <c r="G30">
        <f>sum(G3:G29)</f>
        <v>2332.58</v>
      </c>
    </row>
    <row r="31">
      <c r="A31" t="str">
        <v>TOTAL:</v>
      </c>
      <c r="B31">
        <f>A30+C30+E30+G30+I30+K30</f>
        <v>11015.57</v>
      </c>
    </row>
  </sheetData>
  <mergeCells count="2">
    <mergeCell ref="A1:K1"/>
    <mergeCell ref="B31:K31"/>
  </mergeCells>
  <ignoredErrors>
    <ignoredError numberStoredAsText="1" sqref="A1:H3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R8"/>
  <sheetViews>
    <sheetView workbookViewId="0" rightToLeft="0"/>
  </sheetViews>
  <sheetData>
    <row r="1">
      <c r="A1" t="str">
        <v>FEV - ADM</v>
      </c>
    </row>
    <row r="2">
      <c r="A2" t="str">
        <v>ESSENCE</v>
      </c>
      <c r="C2" t="str">
        <v>EASY</v>
      </c>
      <c r="E2" t="str">
        <v>CULLINAN</v>
      </c>
      <c r="G2" t="str">
        <v>ATHOS</v>
      </c>
      <c r="I2" t="str">
        <v>NOBILE</v>
      </c>
      <c r="K2" t="str">
        <v>FUSION</v>
      </c>
      <c r="M2" t="str">
        <v>METROPOLITAN</v>
      </c>
      <c r="O2" t="str">
        <v>BRISAS</v>
      </c>
      <c r="Q2" t="str">
        <v>MERCURE</v>
      </c>
    </row>
    <row r="3">
      <c r="B3" t="str">
        <v>FAT</v>
      </c>
      <c r="D3" t="str">
        <v>FAT</v>
      </c>
      <c r="F3" t="str">
        <v>FAT</v>
      </c>
      <c r="H3" t="str">
        <v>FAT</v>
      </c>
      <c r="J3" t="str">
        <v>FAT</v>
      </c>
      <c r="L3" t="str">
        <v>FAT</v>
      </c>
      <c r="N3" t="str">
        <v>FAT</v>
      </c>
      <c r="P3" t="str">
        <v>FAT</v>
      </c>
      <c r="R3" t="str">
        <v>FAT</v>
      </c>
    </row>
    <row r="4">
      <c r="B4" t="str">
        <v>LUC</v>
      </c>
      <c r="D4" t="str">
        <v>LUC</v>
      </c>
      <c r="F4" t="str">
        <v>LUC</v>
      </c>
      <c r="H4" t="str">
        <v>LUC</v>
      </c>
      <c r="J4" t="str">
        <v>LUC</v>
      </c>
      <c r="L4" t="str">
        <v>LUC</v>
      </c>
      <c r="N4" t="str">
        <v>LUC</v>
      </c>
      <c r="P4" t="str">
        <v>LUC</v>
      </c>
      <c r="R4" t="str">
        <v>LUC</v>
      </c>
    </row>
    <row r="7">
      <c r="A7" t="str">
        <v>TOTAL FAT</v>
      </c>
    </row>
    <row r="8">
      <c r="A8" t="str">
        <v>TOTAL LUC</v>
      </c>
    </row>
  </sheetData>
  <mergeCells count="3">
    <mergeCell ref="A1:R1"/>
    <mergeCell ref="B7:R7"/>
    <mergeCell ref="B8:R8"/>
  </mergeCells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ESSENCE</vt:lpstr>
      <vt:lpstr>EASY</vt:lpstr>
      <vt:lpstr>CULLINAN</vt:lpstr>
      <vt:lpstr>ATHOS</vt:lpstr>
      <vt:lpstr>NOBILE</vt:lpstr>
      <vt:lpstr>FUSION</vt:lpstr>
      <vt:lpstr>MERCURE</vt:lpstr>
      <vt:lpstr>METROPOLITAN</vt:lpstr>
      <vt:lpstr>RAMADA</vt:lpstr>
      <vt:lpstr>BRISAS</vt:lpstr>
      <vt:lpstr>RESULTADO ADM 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