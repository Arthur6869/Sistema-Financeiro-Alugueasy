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SENCE" sheetId="1" r:id="rId1"/>
    <sheet name="EASY" sheetId="2" r:id="rId2"/>
    <sheet name="CULLINAN" sheetId="3" r:id="rId3"/>
    <sheet name="ATHOS" sheetId="4" r:id="rId4"/>
    <sheet name="NOBILE" sheetId="5" r:id="rId5"/>
    <sheet name="FUSION" sheetId="6" r:id="rId6"/>
    <sheet name="MERCURE" sheetId="7" r:id="rId7"/>
    <sheet name="METROPOLITAN" sheetId="8" r:id="rId8"/>
    <sheet name="RAMADA" sheetId="9" r:id="rId9"/>
    <sheet name="BRISAS" sheetId="10" r:id="rId10"/>
    <sheet name="RESULTADO ADM 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R$ -416]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workbookViewId="0" rightToLeft="0"/>
  </sheetViews>
  <sheetData>
    <row r="1">
      <c r="A1" t="str">
        <v>FEV</v>
      </c>
    </row>
    <row r="2">
      <c r="A2">
        <v>204</v>
      </c>
      <c r="B2" t="str">
        <v/>
      </c>
      <c r="C2">
        <v>301</v>
      </c>
      <c r="D2" t="str">
        <v/>
      </c>
      <c r="E2">
        <v>404</v>
      </c>
      <c r="F2" t="str">
        <v/>
      </c>
      <c r="G2">
        <v>502</v>
      </c>
      <c r="H2" t="str">
        <v/>
      </c>
      <c r="I2">
        <v>504</v>
      </c>
      <c r="J2" t="str">
        <v/>
      </c>
      <c r="K2">
        <v>602</v>
      </c>
      <c r="L2" t="str">
        <v/>
      </c>
      <c r="M2">
        <v>702</v>
      </c>
    </row>
    <row r="3">
      <c r="A3">
        <v>463.66</v>
      </c>
      <c r="B3" t="str">
        <v/>
      </c>
      <c r="C3">
        <v>443.29</v>
      </c>
      <c r="D3" t="str">
        <v/>
      </c>
      <c r="E3">
        <v>379.485</v>
      </c>
      <c r="F3" t="str">
        <v/>
      </c>
      <c r="G3">
        <v>284.61</v>
      </c>
      <c r="H3" t="str">
        <v/>
      </c>
      <c r="I3">
        <v>2422.7364</v>
      </c>
      <c r="J3" t="str">
        <v/>
      </c>
      <c r="K3">
        <v>474.36</v>
      </c>
      <c r="L3" t="str">
        <v/>
      </c>
      <c r="M3">
        <v>357.82</v>
      </c>
    </row>
    <row r="4">
      <c r="A4">
        <v>252</v>
      </c>
      <c r="B4" t="str">
        <v/>
      </c>
      <c r="C4">
        <v>220.55</v>
      </c>
      <c r="D4" t="str">
        <v/>
      </c>
      <c r="E4">
        <v>312.42</v>
      </c>
      <c r="F4" t="str">
        <v/>
      </c>
      <c r="G4">
        <v>322.25</v>
      </c>
      <c r="H4" t="str">
        <v/>
      </c>
      <c r="I4">
        <v>2916.8496</v>
      </c>
      <c r="J4" t="str">
        <v/>
      </c>
      <c r="K4">
        <v>609.9996</v>
      </c>
      <c r="L4" t="str">
        <v/>
      </c>
      <c r="M4">
        <v>233.91</v>
      </c>
    </row>
    <row r="5">
      <c r="A5">
        <v>231.84</v>
      </c>
      <c r="B5" t="str">
        <v/>
      </c>
      <c r="C5">
        <v>266.56</v>
      </c>
      <c r="D5" t="str">
        <v/>
      </c>
      <c r="E5">
        <v>227.36</v>
      </c>
      <c r="F5" t="str">
        <v/>
      </c>
      <c r="G5">
        <v>756</v>
      </c>
      <c r="H5" t="str">
        <v/>
      </c>
      <c r="I5">
        <v>237.19</v>
      </c>
      <c r="J5" t="str">
        <v/>
      </c>
      <c r="K5">
        <v>284.61</v>
      </c>
      <c r="L5" t="str">
        <v/>
      </c>
      <c r="M5">
        <v>749.17</v>
      </c>
    </row>
    <row r="6">
      <c r="A6">
        <v>1738.8</v>
      </c>
      <c r="B6" t="str">
        <v/>
      </c>
      <c r="C6">
        <v>230.06</v>
      </c>
      <c r="D6" t="str">
        <v/>
      </c>
      <c r="E6">
        <v>322.25</v>
      </c>
      <c r="F6" t="str">
        <v/>
      </c>
      <c r="G6">
        <v>257.05</v>
      </c>
      <c r="H6" t="str">
        <v/>
      </c>
      <c r="I6">
        <v>237.19</v>
      </c>
      <c r="J6" t="str">
        <v/>
      </c>
      <c r="K6">
        <v>299.34</v>
      </c>
      <c r="L6" t="str">
        <v/>
      </c>
      <c r="M6">
        <v>285.936</v>
      </c>
    </row>
    <row r="7">
      <c r="A7">
        <v>2565</v>
      </c>
      <c r="B7" t="str">
        <v/>
      </c>
      <c r="C7">
        <v>1305.32</v>
      </c>
      <c r="D7" t="str">
        <v/>
      </c>
      <c r="E7">
        <v>274.81</v>
      </c>
      <c r="F7" t="str">
        <v/>
      </c>
      <c r="G7">
        <v>237.19</v>
      </c>
      <c r="H7" t="str">
        <v/>
      </c>
      <c r="I7">
        <v>227.36</v>
      </c>
      <c r="J7" t="str">
        <v/>
      </c>
      <c r="K7">
        <v>1481.16</v>
      </c>
      <c r="L7" t="str">
        <v/>
      </c>
      <c r="M7">
        <v>552.88</v>
      </c>
    </row>
    <row r="8">
      <c r="A8">
        <v>0</v>
      </c>
      <c r="B8" t="str">
        <v/>
      </c>
      <c r="C8">
        <v>257.05</v>
      </c>
      <c r="D8" t="str">
        <v/>
      </c>
      <c r="E8">
        <v>265.65</v>
      </c>
      <c r="F8" t="str">
        <v/>
      </c>
      <c r="G8">
        <v>215.5104</v>
      </c>
      <c r="H8" t="str">
        <v/>
      </c>
      <c r="I8">
        <v>246.18</v>
      </c>
      <c r="J8" t="str">
        <v/>
      </c>
      <c r="K8">
        <v>256</v>
      </c>
      <c r="L8" t="str">
        <v/>
      </c>
      <c r="M8">
        <v>273.98</v>
      </c>
    </row>
    <row r="9">
      <c r="A9">
        <v>0</v>
      </c>
      <c r="B9" t="str">
        <v/>
      </c>
      <c r="C9">
        <v>274.81</v>
      </c>
      <c r="D9" t="str">
        <v/>
      </c>
      <c r="E9">
        <v>265</v>
      </c>
      <c r="F9" t="str">
        <v/>
      </c>
      <c r="G9">
        <v>256</v>
      </c>
      <c r="H9" t="str">
        <v/>
      </c>
      <c r="I9">
        <v>217.56</v>
      </c>
      <c r="J9" t="str">
        <v/>
      </c>
      <c r="K9">
        <v>237.19</v>
      </c>
      <c r="L9" t="str">
        <v/>
      </c>
      <c r="M9">
        <v>265</v>
      </c>
    </row>
    <row r="10">
      <c r="A10">
        <v>0</v>
      </c>
      <c r="B10" t="str">
        <v/>
      </c>
      <c r="C10">
        <v>211.03</v>
      </c>
      <c r="D10" t="str">
        <v/>
      </c>
      <c r="E10">
        <v>882</v>
      </c>
      <c r="F10" t="str">
        <v/>
      </c>
      <c r="G10">
        <v>265</v>
      </c>
      <c r="H10" t="str">
        <v/>
      </c>
      <c r="I10">
        <v>1051.79</v>
      </c>
      <c r="J10" t="str">
        <v/>
      </c>
      <c r="K10">
        <v>476.7252</v>
      </c>
      <c r="L10" t="str">
        <v/>
      </c>
      <c r="M10">
        <v>257.63</v>
      </c>
    </row>
    <row r="11">
      <c r="A11">
        <v>0</v>
      </c>
      <c r="B11" t="str">
        <v/>
      </c>
      <c r="C11">
        <v>230.06</v>
      </c>
      <c r="D11" t="str">
        <v/>
      </c>
      <c r="E11">
        <v>217.56</v>
      </c>
      <c r="F11" t="str">
        <v/>
      </c>
      <c r="G11">
        <v>328.8936</v>
      </c>
      <c r="H11" t="str">
        <v/>
      </c>
      <c r="I11">
        <v>359.87</v>
      </c>
      <c r="J11" t="str">
        <v/>
      </c>
      <c r="K11">
        <v>997.206</v>
      </c>
      <c r="L11" t="str">
        <v/>
      </c>
      <c r="M11">
        <v>750.8</v>
      </c>
    </row>
    <row r="12">
      <c r="A12">
        <v>0</v>
      </c>
      <c r="B12" t="str">
        <v/>
      </c>
      <c r="C12">
        <v>485.8056</v>
      </c>
      <c r="D12" t="str">
        <v/>
      </c>
      <c r="E12">
        <v>246.18</v>
      </c>
      <c r="F12" t="str">
        <v/>
      </c>
      <c r="G12">
        <v>630</v>
      </c>
      <c r="H12" t="str">
        <v/>
      </c>
      <c r="I12">
        <v>248.32</v>
      </c>
      <c r="J12" t="str">
        <v/>
      </c>
      <c r="K12">
        <v>246.18</v>
      </c>
      <c r="L12" t="str">
        <v/>
      </c>
      <c r="M12">
        <v>217.56</v>
      </c>
    </row>
    <row r="13">
      <c r="A13">
        <v>0</v>
      </c>
      <c r="B13" t="str">
        <v/>
      </c>
      <c r="C13">
        <v>1062</v>
      </c>
      <c r="D13" t="str">
        <v/>
      </c>
      <c r="E13">
        <v>217.56</v>
      </c>
      <c r="F13" t="str">
        <v/>
      </c>
      <c r="G13">
        <v>225</v>
      </c>
      <c r="H13" t="str">
        <v/>
      </c>
      <c r="I13">
        <v>-215.52</v>
      </c>
      <c r="J13" t="str">
        <v>desconto fev</v>
      </c>
      <c r="K13">
        <v>568.42</v>
      </c>
      <c r="L13" t="str">
        <v/>
      </c>
      <c r="M13">
        <v>217.56</v>
      </c>
    </row>
    <row r="14">
      <c r="A14">
        <v>0</v>
      </c>
      <c r="B14" t="str">
        <v/>
      </c>
      <c r="C14">
        <v>332.06</v>
      </c>
      <c r="D14" t="str">
        <v/>
      </c>
      <c r="E14">
        <v>227.36</v>
      </c>
      <c r="F14" t="str">
        <v/>
      </c>
      <c r="G14">
        <v>1679.0928</v>
      </c>
      <c r="H14" t="str">
        <v/>
      </c>
      <c r="I14">
        <v>0</v>
      </c>
      <c r="J14" t="str">
        <v/>
      </c>
      <c r="K14">
        <v>0</v>
      </c>
      <c r="L14" t="str">
        <v/>
      </c>
      <c r="M14">
        <v>235.54</v>
      </c>
    </row>
    <row r="15">
      <c r="A15">
        <v>0</v>
      </c>
      <c r="B15" t="str">
        <v/>
      </c>
      <c r="C15">
        <v>230.06</v>
      </c>
      <c r="D15" t="str">
        <v/>
      </c>
      <c r="E15">
        <v>1499.862</v>
      </c>
      <c r="F15" t="str">
        <v/>
      </c>
      <c r="G15">
        <v>246.18</v>
      </c>
      <c r="H15" t="str">
        <v/>
      </c>
      <c r="I15">
        <v>0</v>
      </c>
      <c r="J15" t="str">
        <v/>
      </c>
      <c r="K15">
        <v>0</v>
      </c>
      <c r="L15" t="str">
        <v/>
      </c>
      <c r="M15">
        <v>217.56</v>
      </c>
    </row>
    <row r="16">
      <c r="A16">
        <v>0</v>
      </c>
      <c r="B16" t="str">
        <v/>
      </c>
      <c r="C16">
        <v>238.79</v>
      </c>
      <c r="D16" t="str">
        <v/>
      </c>
      <c r="E16">
        <v>256</v>
      </c>
      <c r="F16" t="str">
        <v/>
      </c>
      <c r="G16" t="str">
        <v/>
      </c>
      <c r="H16" t="str">
        <v/>
      </c>
      <c r="I16">
        <v>0</v>
      </c>
      <c r="J16" t="str">
        <v/>
      </c>
      <c r="K16">
        <v>0</v>
      </c>
      <c r="L16" t="str">
        <v/>
      </c>
      <c r="M16">
        <v>246.18</v>
      </c>
    </row>
    <row r="17">
      <c r="A17">
        <v>0</v>
      </c>
      <c r="B17" t="str">
        <v/>
      </c>
      <c r="C17">
        <v>270</v>
      </c>
      <c r="D17" t="str">
        <v/>
      </c>
      <c r="E17">
        <v>-215.52</v>
      </c>
      <c r="F17" t="str">
        <v>desconto fev</v>
      </c>
      <c r="G17">
        <v>0</v>
      </c>
      <c r="H17" t="str">
        <v/>
      </c>
      <c r="I17">
        <v>0</v>
      </c>
      <c r="J17" t="str">
        <v/>
      </c>
      <c r="K17">
        <v>0</v>
      </c>
      <c r="L17" t="str">
        <v/>
      </c>
      <c r="M17">
        <v>1051.79</v>
      </c>
    </row>
    <row r="18">
      <c r="A18">
        <v>0</v>
      </c>
      <c r="B18" t="str">
        <v/>
      </c>
      <c r="C18">
        <v>0</v>
      </c>
      <c r="D18" t="str">
        <v/>
      </c>
      <c r="E18">
        <v>0</v>
      </c>
      <c r="F18" t="str">
        <v/>
      </c>
      <c r="G18">
        <v>0</v>
      </c>
      <c r="H18" t="str">
        <v/>
      </c>
      <c r="I18">
        <v>0</v>
      </c>
      <c r="J18" t="str">
        <v/>
      </c>
      <c r="K18">
        <v>0</v>
      </c>
      <c r="L18" t="str">
        <v/>
      </c>
      <c r="M18">
        <v>547.722</v>
      </c>
    </row>
    <row r="19">
      <c r="A19">
        <v>5251.3</v>
      </c>
      <c r="B19" t="str">
        <v/>
      </c>
      <c r="C19">
        <v>6057.4456</v>
      </c>
      <c r="D19" t="str">
        <v/>
      </c>
      <c r="E19">
        <v>5377.977</v>
      </c>
      <c r="F19" t="str">
        <v/>
      </c>
      <c r="G19">
        <v>5702.7768</v>
      </c>
      <c r="H19" t="str">
        <v/>
      </c>
      <c r="I19">
        <v>7949.526</v>
      </c>
      <c r="J19" t="str">
        <v/>
      </c>
      <c r="K19">
        <v>5931.1908</v>
      </c>
      <c r="L19" t="str">
        <v/>
      </c>
      <c r="M19">
        <v>6461.038</v>
      </c>
    </row>
  </sheetData>
  <ignoredErrors>
    <ignoredError numberStoredAsText="1" sqref="A1:M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A1" t="str">
        <v>FEV</v>
      </c>
    </row>
    <row r="2">
      <c r="A2">
        <v>117</v>
      </c>
      <c r="B2" t="str">
        <v/>
      </c>
      <c r="C2">
        <v>217</v>
      </c>
      <c r="D2" t="str">
        <v/>
      </c>
      <c r="E2">
        <v>218</v>
      </c>
      <c r="F2" t="str">
        <v/>
      </c>
      <c r="G2" t="str">
        <v/>
      </c>
      <c r="H2" t="str">
        <v/>
      </c>
      <c r="I2" t="str">
        <v/>
      </c>
    </row>
    <row r="3">
      <c r="A3">
        <v>279.1395</v>
      </c>
      <c r="B3" t="str">
        <v/>
      </c>
      <c r="C3">
        <v>644.48</v>
      </c>
      <c r="D3" t="str">
        <v/>
      </c>
      <c r="E3">
        <v>282.98</v>
      </c>
      <c r="F3" t="str">
        <v/>
      </c>
      <c r="G3" t="str">
        <v/>
      </c>
      <c r="H3" t="str">
        <v/>
      </c>
      <c r="I3" t="str">
        <v/>
      </c>
    </row>
    <row r="4">
      <c r="A4">
        <v>540</v>
      </c>
      <c r="B4" t="str">
        <v/>
      </c>
      <c r="C4">
        <v>270</v>
      </c>
      <c r="D4" t="str">
        <v/>
      </c>
      <c r="E4">
        <v>2241.783</v>
      </c>
      <c r="F4" t="str">
        <v/>
      </c>
      <c r="G4" t="str">
        <v/>
      </c>
      <c r="H4" t="str">
        <v/>
      </c>
      <c r="I4" t="str">
        <v/>
      </c>
    </row>
    <row r="5">
      <c r="A5">
        <v>195.402</v>
      </c>
      <c r="B5" t="str">
        <v/>
      </c>
      <c r="C5">
        <v>198.75</v>
      </c>
      <c r="D5" t="str">
        <v/>
      </c>
      <c r="E5">
        <v>772.2816</v>
      </c>
      <c r="F5" t="str">
        <v/>
      </c>
      <c r="G5" t="str">
        <v/>
      </c>
      <c r="H5" t="str">
        <v/>
      </c>
      <c r="I5" t="str">
        <v/>
      </c>
    </row>
    <row r="6">
      <c r="A6">
        <v>388.49</v>
      </c>
      <c r="B6" t="str">
        <v/>
      </c>
      <c r="C6">
        <v>2234.9778</v>
      </c>
      <c r="D6" t="str">
        <v/>
      </c>
      <c r="E6">
        <v>548.79</v>
      </c>
      <c r="F6" t="str">
        <v/>
      </c>
      <c r="G6" t="str">
        <v/>
      </c>
      <c r="H6" t="str">
        <v/>
      </c>
      <c r="I6" t="str">
        <v/>
      </c>
    </row>
    <row r="7">
      <c r="A7">
        <v>198.75</v>
      </c>
      <c r="B7" t="str">
        <v/>
      </c>
      <c r="C7">
        <v>566.6571</v>
      </c>
      <c r="D7" t="str">
        <v/>
      </c>
      <c r="E7">
        <v>460.5867</v>
      </c>
      <c r="F7" t="str">
        <v/>
      </c>
      <c r="G7" t="str">
        <v/>
      </c>
      <c r="H7" t="str">
        <v/>
      </c>
      <c r="I7" t="str">
        <v/>
      </c>
    </row>
    <row r="8">
      <c r="A8">
        <v>396</v>
      </c>
      <c r="B8" t="str">
        <v/>
      </c>
      <c r="C8">
        <v>396</v>
      </c>
      <c r="D8" t="str">
        <v/>
      </c>
      <c r="E8">
        <v>198.75</v>
      </c>
      <c r="F8" t="str">
        <v/>
      </c>
      <c r="G8" t="str">
        <v/>
      </c>
      <c r="H8" t="str">
        <v/>
      </c>
      <c r="I8" t="str">
        <v/>
      </c>
    </row>
    <row r="9">
      <c r="A9">
        <v>204.7023</v>
      </c>
      <c r="B9" t="str">
        <v/>
      </c>
      <c r="C9">
        <v>139.5741</v>
      </c>
      <c r="D9" t="str">
        <v/>
      </c>
      <c r="E9">
        <v>235.135</v>
      </c>
      <c r="F9" t="str">
        <v/>
      </c>
      <c r="G9" t="str">
        <v/>
      </c>
      <c r="H9" t="str">
        <v/>
      </c>
      <c r="I9" t="str">
        <v/>
      </c>
    </row>
    <row r="10">
      <c r="A10">
        <v>396</v>
      </c>
      <c r="B10" t="str">
        <v/>
      </c>
      <c r="C10">
        <v>246.18</v>
      </c>
      <c r="D10" t="str">
        <v/>
      </c>
      <c r="E10">
        <v>0</v>
      </c>
      <c r="F10" t="str">
        <v/>
      </c>
      <c r="G10" t="str">
        <v/>
      </c>
      <c r="H10" t="str">
        <v/>
      </c>
      <c r="I10" t="str">
        <v/>
      </c>
    </row>
    <row r="11">
      <c r="A11">
        <v>396</v>
      </c>
      <c r="B11" t="str">
        <v/>
      </c>
      <c r="C11">
        <v>423.6204</v>
      </c>
      <c r="D11" t="str">
        <v/>
      </c>
      <c r="E11">
        <v>0</v>
      </c>
      <c r="F11" t="str">
        <v/>
      </c>
      <c r="G11" t="str">
        <v/>
      </c>
      <c r="H11" t="str">
        <v/>
      </c>
      <c r="I11" t="str">
        <v/>
      </c>
    </row>
    <row r="12">
      <c r="A12">
        <v>396</v>
      </c>
      <c r="B12" t="str">
        <v/>
      </c>
      <c r="C12">
        <v>342</v>
      </c>
      <c r="D12" t="str">
        <v/>
      </c>
      <c r="E12">
        <v>0</v>
      </c>
      <c r="F12" t="str">
        <v/>
      </c>
      <c r="G12" t="str">
        <v/>
      </c>
      <c r="H12" t="str">
        <v/>
      </c>
      <c r="I12" t="str">
        <v/>
      </c>
    </row>
    <row r="13">
      <c r="A13">
        <v>540</v>
      </c>
      <c r="B13" t="str">
        <v/>
      </c>
      <c r="C13">
        <v>227.36</v>
      </c>
      <c r="D13" t="str">
        <v/>
      </c>
      <c r="E13">
        <v>0</v>
      </c>
      <c r="F13" t="str">
        <v/>
      </c>
      <c r="G13" t="str">
        <v/>
      </c>
      <c r="H13" t="str">
        <v/>
      </c>
      <c r="I13" t="str">
        <v/>
      </c>
    </row>
    <row r="14">
      <c r="A14">
        <v>468</v>
      </c>
      <c r="B14" t="str">
        <v/>
      </c>
      <c r="C14">
        <v>176.7927</v>
      </c>
      <c r="D14" t="str">
        <v/>
      </c>
      <c r="E14">
        <v>0</v>
      </c>
      <c r="F14" t="str">
        <v/>
      </c>
      <c r="G14" t="str">
        <v/>
      </c>
      <c r="H14" t="str">
        <v/>
      </c>
      <c r="I14" t="str">
        <v/>
      </c>
    </row>
    <row r="15">
      <c r="A15">
        <v>198</v>
      </c>
      <c r="B15" t="str">
        <v/>
      </c>
      <c r="C15">
        <v>189.74</v>
      </c>
      <c r="D15" t="str">
        <v/>
      </c>
      <c r="E15">
        <v>0</v>
      </c>
      <c r="F15" t="str">
        <v/>
      </c>
      <c r="G15" t="str">
        <v/>
      </c>
      <c r="H15" t="str">
        <v/>
      </c>
      <c r="I15" t="str">
        <v/>
      </c>
    </row>
    <row r="16">
      <c r="A16">
        <v>4596.4838</v>
      </c>
      <c r="B16" t="str">
        <v/>
      </c>
      <c r="C16">
        <v>6056.1321</v>
      </c>
      <c r="D16" t="str">
        <v/>
      </c>
      <c r="E16">
        <v>4740.3063</v>
      </c>
      <c r="F16" t="str">
        <v/>
      </c>
      <c r="G16" t="str">
        <v/>
      </c>
      <c r="H16" t="str">
        <v/>
      </c>
      <c r="I16" t="str">
        <v/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 rightToLeft="0"/>
  </sheetViews>
  <sheetData>
    <row r="1">
      <c r="A1" t="str">
        <v>FEV</v>
      </c>
    </row>
    <row r="2">
      <c r="A2">
        <v>611</v>
      </c>
      <c r="B2" t="str">
        <v/>
      </c>
      <c r="C2" t="str">
        <v/>
      </c>
      <c r="D2" t="str">
        <v/>
      </c>
      <c r="E2" t="str">
        <v/>
      </c>
    </row>
    <row r="3">
      <c r="A3">
        <v>946.68</v>
      </c>
      <c r="B3" t="str">
        <v/>
      </c>
      <c r="C3" t="str">
        <v/>
      </c>
      <c r="D3" t="str">
        <v/>
      </c>
      <c r="E3" t="str">
        <v/>
      </c>
    </row>
    <row r="4">
      <c r="A4">
        <v>296.388</v>
      </c>
      <c r="B4" t="str">
        <v/>
      </c>
      <c r="C4" t="str">
        <v/>
      </c>
      <c r="D4" t="str">
        <v/>
      </c>
      <c r="E4" t="str">
        <v/>
      </c>
    </row>
    <row r="5">
      <c r="A5">
        <v>262.3656</v>
      </c>
      <c r="B5" t="str">
        <v/>
      </c>
      <c r="C5" t="str">
        <v/>
      </c>
      <c r="D5" t="str">
        <v/>
      </c>
      <c r="E5" t="str">
        <v/>
      </c>
    </row>
    <row r="6">
      <c r="A6">
        <v>245.406</v>
      </c>
      <c r="B6" t="str">
        <v/>
      </c>
      <c r="C6" t="str">
        <v/>
      </c>
      <c r="D6" t="str">
        <v/>
      </c>
      <c r="E6" t="str">
        <v/>
      </c>
    </row>
    <row r="7">
      <c r="A7">
        <v>215.5188</v>
      </c>
      <c r="B7" t="str">
        <v/>
      </c>
      <c r="C7" t="str">
        <v/>
      </c>
      <c r="D7" t="str">
        <v/>
      </c>
      <c r="E7" t="str">
        <v/>
      </c>
    </row>
    <row r="8">
      <c r="A8">
        <v>212.52</v>
      </c>
      <c r="B8" t="str">
        <v/>
      </c>
      <c r="C8" t="str">
        <v/>
      </c>
      <c r="D8" t="str">
        <v/>
      </c>
      <c r="E8" t="str">
        <v/>
      </c>
    </row>
    <row r="9">
      <c r="A9">
        <v>183.54</v>
      </c>
      <c r="B9" t="str">
        <v/>
      </c>
      <c r="C9" t="str">
        <v/>
      </c>
      <c r="D9" t="str">
        <v/>
      </c>
      <c r="E9" t="str">
        <v/>
      </c>
    </row>
    <row r="10">
      <c r="A10">
        <v>237.19</v>
      </c>
      <c r="B10" t="str">
        <v/>
      </c>
      <c r="C10" t="str">
        <v/>
      </c>
      <c r="D10" t="str">
        <v/>
      </c>
      <c r="E10" t="str">
        <v/>
      </c>
    </row>
    <row r="11">
      <c r="A11">
        <v>245.406</v>
      </c>
      <c r="B11" t="str">
        <v/>
      </c>
      <c r="C11" t="str">
        <v/>
      </c>
      <c r="D11" t="str">
        <v/>
      </c>
      <c r="E11" t="str">
        <v/>
      </c>
    </row>
    <row r="12">
      <c r="A12">
        <v>463.5456</v>
      </c>
      <c r="B12" t="str">
        <v/>
      </c>
      <c r="C12" t="str">
        <v/>
      </c>
      <c r="D12" t="str">
        <v/>
      </c>
      <c r="E12" t="str">
        <v/>
      </c>
    </row>
    <row r="13">
      <c r="A13">
        <v>173.88</v>
      </c>
      <c r="B13" t="str">
        <v/>
      </c>
      <c r="C13" t="str">
        <v/>
      </c>
      <c r="D13" t="str">
        <v/>
      </c>
      <c r="E13" t="str">
        <v/>
      </c>
    </row>
    <row r="14">
      <c r="A14">
        <v>196.7784</v>
      </c>
      <c r="B14" t="str">
        <v/>
      </c>
      <c r="C14" t="str">
        <v/>
      </c>
      <c r="D14" t="str">
        <v/>
      </c>
      <c r="E14" t="str">
        <v/>
      </c>
    </row>
    <row r="15">
      <c r="A15">
        <v>173.88</v>
      </c>
      <c r="B15" t="str">
        <v/>
      </c>
      <c r="C15" t="str">
        <v/>
      </c>
      <c r="D15" t="str">
        <v/>
      </c>
      <c r="E15" t="str">
        <v/>
      </c>
    </row>
    <row r="16">
      <c r="A16">
        <v>173.88</v>
      </c>
      <c r="B16" t="str">
        <v/>
      </c>
      <c r="C16" t="str">
        <v/>
      </c>
      <c r="D16" t="str">
        <v/>
      </c>
      <c r="E16" t="str">
        <v/>
      </c>
    </row>
    <row r="17">
      <c r="A17">
        <v>569.7132</v>
      </c>
      <c r="B17" t="str">
        <v/>
      </c>
      <c r="C17" t="str">
        <v/>
      </c>
      <c r="D17" t="str">
        <v/>
      </c>
      <c r="E17" t="str">
        <v/>
      </c>
    </row>
    <row r="18">
      <c r="A18">
        <v>878.2452</v>
      </c>
      <c r="B18" t="str">
        <v/>
      </c>
      <c r="C18" t="str">
        <v/>
      </c>
      <c r="D18" t="str">
        <v/>
      </c>
      <c r="E18" t="str">
        <v/>
      </c>
    </row>
    <row r="19">
      <c r="A19">
        <v>212.52</v>
      </c>
      <c r="B19" t="str">
        <v/>
      </c>
      <c r="C19" t="str">
        <v/>
      </c>
      <c r="D19" t="str">
        <v/>
      </c>
      <c r="E19" t="str">
        <v/>
      </c>
    </row>
    <row r="20">
      <c r="A20">
        <v>212.52</v>
      </c>
      <c r="B20" t="str">
        <v/>
      </c>
      <c r="C20" t="str">
        <v/>
      </c>
      <c r="D20" t="str">
        <v/>
      </c>
      <c r="E20" t="str">
        <v/>
      </c>
    </row>
    <row r="21">
      <c r="A21">
        <v>5899.9768</v>
      </c>
      <c r="B21" t="str">
        <v/>
      </c>
      <c r="C21" t="str">
        <v/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 rightToLeft="0"/>
  </sheetViews>
  <sheetData>
    <row r="1">
      <c r="A1" t="str">
        <v>FEV</v>
      </c>
    </row>
    <row r="2">
      <c r="A2">
        <v>910</v>
      </c>
      <c r="B2" t="str">
        <v/>
      </c>
      <c r="C2" t="str">
        <v/>
      </c>
      <c r="D2" t="str">
        <v/>
      </c>
      <c r="E2" t="str">
        <v/>
      </c>
    </row>
    <row r="3">
      <c r="A3">
        <v>824.42</v>
      </c>
      <c r="B3" t="str">
        <v/>
      </c>
      <c r="C3" t="str">
        <v/>
      </c>
      <c r="D3" t="str">
        <v/>
      </c>
      <c r="E3" t="str">
        <v/>
      </c>
    </row>
    <row r="4">
      <c r="A4">
        <v>259.9212</v>
      </c>
      <c r="B4" t="str">
        <v/>
      </c>
      <c r="C4" t="str">
        <v/>
      </c>
      <c r="D4" t="str">
        <v/>
      </c>
      <c r="E4" t="str">
        <v/>
      </c>
    </row>
    <row r="5">
      <c r="A5">
        <v>185.658</v>
      </c>
      <c r="B5" t="str">
        <v/>
      </c>
      <c r="C5" t="str">
        <v/>
      </c>
      <c r="D5" t="str">
        <v/>
      </c>
      <c r="E5" t="str">
        <v/>
      </c>
    </row>
    <row r="6">
      <c r="A6">
        <v>189.74</v>
      </c>
      <c r="B6" t="str">
        <v/>
      </c>
      <c r="C6" t="str">
        <v/>
      </c>
      <c r="D6" t="str">
        <v/>
      </c>
      <c r="E6" t="str">
        <v/>
      </c>
    </row>
    <row r="7">
      <c r="A7">
        <v>194.9409</v>
      </c>
      <c r="B7" t="str">
        <v/>
      </c>
      <c r="C7" t="str">
        <v/>
      </c>
      <c r="D7" t="str">
        <v/>
      </c>
      <c r="E7" t="str">
        <v/>
      </c>
    </row>
    <row r="8">
      <c r="A8">
        <v>682.11</v>
      </c>
      <c r="B8" t="str">
        <v/>
      </c>
      <c r="C8" t="str">
        <v/>
      </c>
      <c r="D8" t="str">
        <v/>
      </c>
      <c r="E8" t="str">
        <v/>
      </c>
    </row>
    <row r="9">
      <c r="A9">
        <v>177.219</v>
      </c>
      <c r="B9" t="str">
        <v/>
      </c>
      <c r="C9" t="str">
        <v/>
      </c>
      <c r="D9" t="str">
        <v/>
      </c>
      <c r="E9" t="str">
        <v/>
      </c>
    </row>
    <row r="10">
      <c r="A10">
        <v>208.55</v>
      </c>
      <c r="B10" t="str">
        <v/>
      </c>
      <c r="C10" t="str">
        <v/>
      </c>
      <c r="D10" t="str">
        <v/>
      </c>
      <c r="E10" t="str">
        <v/>
      </c>
    </row>
    <row r="11">
      <c r="A11">
        <v>185.658</v>
      </c>
      <c r="B11" t="str">
        <v/>
      </c>
      <c r="C11" t="str">
        <v/>
      </c>
      <c r="D11" t="str">
        <v/>
      </c>
      <c r="E11" t="str">
        <v/>
      </c>
    </row>
    <row r="12">
      <c r="A12">
        <v>194.9409</v>
      </c>
      <c r="B12" t="str">
        <v/>
      </c>
      <c r="C12" t="str">
        <v/>
      </c>
      <c r="D12" t="str">
        <v/>
      </c>
      <c r="E12" t="str">
        <v/>
      </c>
    </row>
    <row r="13">
      <c r="A13">
        <v>176.3751</v>
      </c>
      <c r="B13" t="str">
        <v/>
      </c>
      <c r="C13" t="str">
        <v/>
      </c>
      <c r="D13" t="str">
        <v/>
      </c>
      <c r="E13" t="str">
        <v/>
      </c>
    </row>
    <row r="14">
      <c r="A14">
        <v>204.2238</v>
      </c>
      <c r="B14" t="str">
        <v/>
      </c>
      <c r="C14" t="str">
        <v/>
      </c>
      <c r="D14" t="str">
        <v/>
      </c>
      <c r="E14" t="str">
        <v/>
      </c>
    </row>
    <row r="15">
      <c r="A15">
        <v>142.31</v>
      </c>
      <c r="B15" t="str">
        <v/>
      </c>
      <c r="C15" t="str">
        <v/>
      </c>
      <c r="D15" t="str">
        <v/>
      </c>
      <c r="E15" t="str">
        <v/>
      </c>
    </row>
    <row r="16">
      <c r="A16">
        <v>854.0181</v>
      </c>
      <c r="B16" t="str">
        <v/>
      </c>
      <c r="C16" t="str">
        <v/>
      </c>
      <c r="D16" t="str">
        <v/>
      </c>
      <c r="E16" t="str">
        <v/>
      </c>
    </row>
    <row r="17">
      <c r="A17">
        <v>378.189</v>
      </c>
      <c r="B17" t="str">
        <v/>
      </c>
      <c r="C17" t="str">
        <v/>
      </c>
      <c r="D17" t="str">
        <v/>
      </c>
      <c r="E17" t="str">
        <v/>
      </c>
    </row>
    <row r="18">
      <c r="A18">
        <v>445.5792</v>
      </c>
      <c r="B18" t="str">
        <v/>
      </c>
      <c r="C18" t="str">
        <v/>
      </c>
      <c r="D18" t="str">
        <v/>
      </c>
      <c r="E18" t="str">
        <v/>
      </c>
    </row>
    <row r="19">
      <c r="A19">
        <v>5303.8532</v>
      </c>
      <c r="B19" t="str">
        <v/>
      </c>
      <c r="C19" t="str">
        <v/>
      </c>
      <c r="D19" t="str">
        <v/>
      </c>
      <c r="E19" t="str">
        <v/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 rightToLeft="0"/>
  </sheetViews>
  <sheetData>
    <row r="1">
      <c r="A1" t="str">
        <v>FEV</v>
      </c>
    </row>
    <row r="2">
      <c r="A2">
        <v>718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>
        <v>565.15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>
        <v>188.2767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>
        <v>400.5654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>
        <v>163.038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>
        <v>155.2776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>
        <v>179.93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>
        <v>213.5067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>
        <v>427.0134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>
        <v>329.4864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>
        <v>2622.2442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</sheetData>
  <ignoredErrors>
    <ignoredError numberStoredAsText="1" sqref="A1:G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6"/>
  <sheetViews>
    <sheetView workbookViewId="0" rightToLeft="0"/>
  </sheetViews>
  <sheetData>
    <row r="1">
      <c r="A1" t="str">
        <v>FEV</v>
      </c>
    </row>
    <row r="2">
      <c r="A2">
        <v>722</v>
      </c>
      <c r="B2" t="str">
        <v/>
      </c>
      <c r="C2">
        <v>1415</v>
      </c>
      <c r="D2" t="str">
        <v/>
      </c>
      <c r="E2">
        <v>1501</v>
      </c>
      <c r="F2" t="str">
        <v/>
      </c>
      <c r="G2" t="str">
        <v/>
      </c>
      <c r="H2" t="str">
        <v/>
      </c>
      <c r="I2" t="str">
        <v/>
      </c>
    </row>
    <row r="3">
      <c r="A3">
        <v>660.33</v>
      </c>
      <c r="B3" t="str">
        <v/>
      </c>
      <c r="C3">
        <v>311.61</v>
      </c>
      <c r="D3" t="str">
        <v/>
      </c>
      <c r="E3">
        <v>1781.32</v>
      </c>
      <c r="F3" t="str">
        <v/>
      </c>
      <c r="G3" t="str">
        <v/>
      </c>
      <c r="H3" t="str">
        <v/>
      </c>
      <c r="I3" t="str">
        <v/>
      </c>
    </row>
    <row r="4">
      <c r="A4">
        <v>627.3222</v>
      </c>
      <c r="B4" t="str">
        <v/>
      </c>
      <c r="C4">
        <v>427.0134</v>
      </c>
      <c r="D4" t="str">
        <v/>
      </c>
      <c r="E4">
        <v>190.095</v>
      </c>
      <c r="F4" t="str">
        <v/>
      </c>
      <c r="G4" t="str">
        <v/>
      </c>
      <c r="H4" t="str">
        <v/>
      </c>
      <c r="I4" t="str">
        <v/>
      </c>
    </row>
    <row r="5">
      <c r="A5">
        <v>197.6901</v>
      </c>
      <c r="B5" t="str">
        <v/>
      </c>
      <c r="C5">
        <v>220.11</v>
      </c>
      <c r="D5" t="str">
        <v/>
      </c>
      <c r="E5">
        <v>151.3</v>
      </c>
      <c r="F5" t="str">
        <v/>
      </c>
      <c r="G5" t="str">
        <v/>
      </c>
      <c r="H5" t="str">
        <v/>
      </c>
      <c r="I5" t="str">
        <v/>
      </c>
    </row>
    <row r="6">
      <c r="A6">
        <v>207</v>
      </c>
      <c r="B6" t="str">
        <v/>
      </c>
      <c r="C6">
        <v>200.1</v>
      </c>
      <c r="D6" t="str">
        <v/>
      </c>
      <c r="E6">
        <v>170.11</v>
      </c>
      <c r="F6" t="str">
        <v/>
      </c>
      <c r="G6" t="str">
        <v/>
      </c>
      <c r="H6" t="str">
        <v/>
      </c>
      <c r="I6" t="str">
        <v/>
      </c>
    </row>
    <row r="7">
      <c r="A7">
        <v>207</v>
      </c>
      <c r="B7" t="str">
        <v/>
      </c>
      <c r="C7">
        <v>198.099</v>
      </c>
      <c r="D7" t="str">
        <v/>
      </c>
      <c r="E7">
        <v>161.12</v>
      </c>
      <c r="F7" t="str">
        <v/>
      </c>
      <c r="G7" t="str">
        <v/>
      </c>
      <c r="H7" t="str">
        <v/>
      </c>
      <c r="I7" t="str">
        <v/>
      </c>
    </row>
    <row r="8">
      <c r="A8">
        <v>155.2776</v>
      </c>
      <c r="B8" t="str">
        <v/>
      </c>
      <c r="C8">
        <v>220.11</v>
      </c>
      <c r="D8" t="str">
        <v/>
      </c>
      <c r="E8">
        <v>151.3</v>
      </c>
      <c r="F8" t="str">
        <v/>
      </c>
      <c r="G8" t="str">
        <v/>
      </c>
      <c r="H8" t="str">
        <v/>
      </c>
      <c r="I8" t="str">
        <v/>
      </c>
    </row>
    <row r="9">
      <c r="A9">
        <v>407.2035</v>
      </c>
      <c r="B9" t="str">
        <v/>
      </c>
      <c r="C9">
        <v>440.6028</v>
      </c>
      <c r="D9" t="str">
        <v/>
      </c>
      <c r="E9">
        <v>189.74</v>
      </c>
      <c r="F9" t="str">
        <v/>
      </c>
      <c r="G9" t="str">
        <v/>
      </c>
      <c r="H9" t="str">
        <v/>
      </c>
      <c r="I9" t="str">
        <v/>
      </c>
    </row>
    <row r="10">
      <c r="A10">
        <v>176.088</v>
      </c>
      <c r="B10" t="str">
        <v/>
      </c>
      <c r="C10">
        <v>184.3965</v>
      </c>
      <c r="D10" t="str">
        <v/>
      </c>
      <c r="E10">
        <v>142.31</v>
      </c>
      <c r="F10" t="str">
        <v/>
      </c>
      <c r="G10" t="str">
        <v/>
      </c>
      <c r="H10" t="str">
        <v/>
      </c>
      <c r="I10" t="str">
        <v/>
      </c>
    </row>
    <row r="11">
      <c r="A11">
        <v>368.7843</v>
      </c>
      <c r="B11" t="str">
        <v/>
      </c>
      <c r="C11">
        <v>176.088</v>
      </c>
      <c r="D11" t="str">
        <v/>
      </c>
      <c r="E11">
        <v>142.31</v>
      </c>
      <c r="F11" t="str">
        <v/>
      </c>
      <c r="G11" t="str">
        <v/>
      </c>
      <c r="H11" t="str">
        <v/>
      </c>
      <c r="I11" t="str">
        <v/>
      </c>
    </row>
    <row r="12">
      <c r="A12">
        <v>330.165</v>
      </c>
      <c r="B12" t="str">
        <v/>
      </c>
      <c r="C12">
        <v>187.0935</v>
      </c>
      <c r="D12" t="str">
        <v/>
      </c>
      <c r="E12">
        <v>142.31</v>
      </c>
      <c r="F12" t="str">
        <v/>
      </c>
      <c r="G12" t="str">
        <v/>
      </c>
      <c r="H12" t="str">
        <v/>
      </c>
      <c r="I12" t="str">
        <v/>
      </c>
    </row>
    <row r="13">
      <c r="A13">
        <v>190.095</v>
      </c>
      <c r="B13" t="str">
        <v/>
      </c>
      <c r="C13">
        <v>165.0825</v>
      </c>
      <c r="D13" t="str">
        <v/>
      </c>
      <c r="E13">
        <v>161.12</v>
      </c>
      <c r="F13" t="str">
        <v/>
      </c>
      <c r="G13" t="str">
        <v/>
      </c>
      <c r="H13" t="str">
        <v/>
      </c>
      <c r="I13" t="str">
        <v/>
      </c>
    </row>
    <row r="14">
      <c r="A14">
        <v>-879.91</v>
      </c>
      <c r="B14" t="str">
        <v/>
      </c>
      <c r="C14">
        <v>150.075</v>
      </c>
      <c r="D14" t="str">
        <v/>
      </c>
      <c r="E14">
        <v>606.04</v>
      </c>
      <c r="F14" t="str">
        <v/>
      </c>
      <c r="G14" t="str">
        <v/>
      </c>
      <c r="H14" t="str">
        <v/>
      </c>
      <c r="I14" t="str">
        <v/>
      </c>
    </row>
    <row r="15">
      <c r="A15">
        <v>0</v>
      </c>
      <c r="B15" t="str">
        <v/>
      </c>
      <c r="C15">
        <v>931.1871</v>
      </c>
      <c r="D15" t="str">
        <v/>
      </c>
      <c r="E15">
        <v>795.79</v>
      </c>
      <c r="F15" t="str">
        <v/>
      </c>
      <c r="G15" t="str">
        <v/>
      </c>
      <c r="H15" t="str">
        <v/>
      </c>
      <c r="I15" t="str">
        <v/>
      </c>
    </row>
    <row r="16">
      <c r="A16">
        <v>2647.0457</v>
      </c>
      <c r="B16" t="str">
        <v/>
      </c>
      <c r="C16">
        <v>2931.6578</v>
      </c>
      <c r="D16" t="str">
        <v/>
      </c>
      <c r="E16">
        <v>4784.865</v>
      </c>
      <c r="F16" t="str">
        <v/>
      </c>
      <c r="G16" t="str">
        <v/>
      </c>
      <c r="H16" t="str">
        <v/>
      </c>
      <c r="I16" t="str">
        <v/>
      </c>
    </row>
  </sheetData>
  <ignoredErrors>
    <ignoredError numberStoredAsText="1" sqref="A1:I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FEV</v>
      </c>
    </row>
    <row r="2">
      <c r="A2">
        <v>1311</v>
      </c>
      <c r="C2">
        <v>1312</v>
      </c>
      <c r="E2">
        <v>1419</v>
      </c>
    </row>
    <row r="3">
      <c r="A3">
        <f>1406.07-(1406.07*16%)</f>
        <v>1181.0988</v>
      </c>
      <c r="C3">
        <f>(566.89)/2*1</f>
        <v>283.445</v>
      </c>
      <c r="E3">
        <f>345.36-(345.36*13%)</f>
        <v>300.4632</v>
      </c>
    </row>
    <row r="4" xml:space="preserve">
      <c r="A4">
        <f>173.88-(173.88*16%)</f>
        <v>146.0592</v>
      </c>
      <c r="C4">
        <f>1064.41-(1064.41*16%)</f>
        <v>894.1044</v>
      </c>
      <c r="E4" xml:space="preserve">
        <f xml:space="preserve">186.3
-(186.3
*13%)</f>
        <v>162.081</v>
      </c>
    </row>
    <row r="5">
      <c r="A5">
        <f>382.95-(382.95*16%)</f>
        <v>321.678</v>
      </c>
      <c r="C5">
        <f>230.91-(230.91*16%)</f>
        <v>193.9644</v>
      </c>
      <c r="E5">
        <f xml:space="preserve"> 662.6-( 662.6*13%)</f>
        <v>576.462</v>
      </c>
    </row>
    <row r="6" xml:space="preserve">
      <c r="A6">
        <f>884.95-(884.95*16%)</f>
        <v>743.358</v>
      </c>
      <c r="C6">
        <f>230-(230*10%)</f>
        <v>207</v>
      </c>
      <c r="E6" xml:space="preserve">
        <f xml:space="preserve">186.3
-(186.3
*13%)</f>
        <v>162.081</v>
      </c>
    </row>
    <row r="7">
      <c r="A7">
        <f>217.35-(217.35*16%)</f>
        <v>182.574</v>
      </c>
      <c r="C7">
        <f>230-(230*10%)</f>
        <v>207</v>
      </c>
      <c r="E7">
        <f>196.65-(196.65*13%)</f>
        <v>171.0855</v>
      </c>
    </row>
    <row r="8">
      <c r="A8">
        <f>144.9-(144.9*16%)</f>
        <v>121.716</v>
      </c>
      <c r="C8">
        <f xml:space="preserve"> 678.3-( 678.3*16%)</f>
        <v>569.772</v>
      </c>
      <c r="E8">
        <f>165.6-(165.6*13%)</f>
        <v>144.072</v>
      </c>
    </row>
    <row r="9" xml:space="preserve">
      <c r="A9">
        <f>662.61-(662.61*16%)</f>
        <v>556.5924</v>
      </c>
      <c r="C9">
        <f xml:space="preserve"> 165.6-( 165.6*16%)</f>
        <v>139.104</v>
      </c>
      <c r="E9" xml:space="preserve">
        <f xml:space="preserve">186.3
-(186.3
*13%)</f>
        <v>162.081</v>
      </c>
    </row>
    <row r="10">
      <c r="A10">
        <f>341.55-(341.55*16%)</f>
        <v>286.902</v>
      </c>
      <c r="C10">
        <f xml:space="preserve"> 998.99-( 998.99*16%)</f>
        <v>839.1516</v>
      </c>
      <c r="E10">
        <f>371.46-(371.46*13%)</f>
        <v>323.1702</v>
      </c>
    </row>
    <row r="11">
      <c r="A11">
        <v>0</v>
      </c>
      <c r="C11">
        <f xml:space="preserve"> 769.33-( 769.33*16%)</f>
        <v>646.2372</v>
      </c>
      <c r="E11">
        <f>196.65-(196.65*13%)</f>
        <v>171.0855</v>
      </c>
    </row>
    <row r="12" xml:space="preserve">
      <c r="A12">
        <v>0</v>
      </c>
      <c r="C12">
        <f xml:space="preserve"> 165.6-( 165.6*16%)</f>
        <v>139.104</v>
      </c>
      <c r="E12" xml:space="preserve">
        <f xml:space="preserve">186.3
-(186.3
*13%)</f>
        <v>162.081</v>
      </c>
    </row>
    <row r="13">
      <c r="A13">
        <v>0</v>
      </c>
      <c r="C13">
        <f>217.35-(217.35*16%)</f>
        <v>182.574</v>
      </c>
      <c r="E13">
        <v>138.04</v>
      </c>
    </row>
    <row r="14">
      <c r="A14">
        <v>0</v>
      </c>
      <c r="C14">
        <v>0</v>
      </c>
      <c r="E14">
        <f>150.59-(150.59*13%)</f>
        <v>131.0133</v>
      </c>
    </row>
    <row r="15">
      <c r="A15">
        <v>0</v>
      </c>
      <c r="C15">
        <v>0</v>
      </c>
      <c r="E15">
        <f>200.79-(200.79*13%)</f>
        <v>174.6873</v>
      </c>
    </row>
    <row r="16">
      <c r="A16">
        <v>0</v>
      </c>
      <c r="C16">
        <v>0</v>
      </c>
      <c r="E16">
        <v>146.77</v>
      </c>
    </row>
    <row r="17">
      <c r="A17">
        <v>0</v>
      </c>
      <c r="C17">
        <v>0</v>
      </c>
      <c r="E17">
        <v>1205.87</v>
      </c>
    </row>
    <row r="18">
      <c r="A18">
        <v>0</v>
      </c>
      <c r="C18">
        <v>0</v>
      </c>
      <c r="E18">
        <v>0</v>
      </c>
    </row>
    <row r="19">
      <c r="A19">
        <v>0</v>
      </c>
      <c r="C19">
        <v>0</v>
      </c>
      <c r="E19">
        <v>0</v>
      </c>
    </row>
    <row r="20">
      <c r="A20">
        <v>0</v>
      </c>
      <c r="C20">
        <v>0</v>
      </c>
      <c r="E20">
        <v>0</v>
      </c>
    </row>
    <row r="21">
      <c r="A21">
        <v>0</v>
      </c>
      <c r="C21">
        <v>0</v>
      </c>
      <c r="E21">
        <v>0</v>
      </c>
      <c r="I21" t="str">
        <v>booking</v>
      </c>
    </row>
    <row r="22">
      <c r="A22">
        <v>0</v>
      </c>
      <c r="C22">
        <v>0</v>
      </c>
      <c r="E22">
        <v>0</v>
      </c>
      <c r="I22" t="str">
        <v>airbnb</v>
      </c>
    </row>
    <row r="23">
      <c r="A23">
        <v>0</v>
      </c>
      <c r="C23">
        <v>0</v>
      </c>
      <c r="E23">
        <v>0</v>
      </c>
      <c r="I23" t="str">
        <v>alugueasy</v>
      </c>
    </row>
    <row r="24">
      <c r="A24">
        <v>0</v>
      </c>
      <c r="C24">
        <v>0</v>
      </c>
      <c r="E24">
        <v>0</v>
      </c>
    </row>
    <row r="25">
      <c r="A25">
        <v>0</v>
      </c>
      <c r="C25">
        <v>0</v>
      </c>
      <c r="E25">
        <v>0</v>
      </c>
    </row>
    <row r="26">
      <c r="A26">
        <v>0</v>
      </c>
      <c r="C26">
        <v>0</v>
      </c>
      <c r="E26">
        <v>0</v>
      </c>
    </row>
    <row r="27">
      <c r="A27">
        <v>0</v>
      </c>
      <c r="C27">
        <v>0</v>
      </c>
      <c r="E27">
        <v>0</v>
      </c>
    </row>
    <row r="28">
      <c r="A28">
        <v>0</v>
      </c>
      <c r="C28">
        <v>0</v>
      </c>
      <c r="E28">
        <v>0</v>
      </c>
    </row>
    <row r="29">
      <c r="A29">
        <v>0</v>
      </c>
      <c r="C29">
        <v>0</v>
      </c>
      <c r="E29">
        <v>0</v>
      </c>
    </row>
    <row r="30">
      <c r="A30">
        <f>SUM(A3:A29)</f>
        <v>3539.9784</v>
      </c>
      <c r="C30">
        <f>SUM(C3:C29)</f>
        <v>4301.4566</v>
      </c>
      <c r="E30">
        <f>SUM(E3:E29)</f>
        <v>4131.043</v>
      </c>
    </row>
    <row r="31">
      <c r="A31" t="str">
        <v>TOTAL</v>
      </c>
      <c r="B31">
        <f>A30+C30+E30+G30+I30+K30</f>
        <v>11972.478</v>
      </c>
    </row>
    <row r="32">
      <c r="A32">
        <f>(A30)*12%</f>
        <v>424.797408</v>
      </c>
      <c r="C32">
        <f>(C30)*15%</f>
        <v>645.21849</v>
      </c>
      <c r="E32">
        <f>(E30)*12%</f>
        <v>495.72516</v>
      </c>
    </row>
    <row r="33">
      <c r="A33" t="str">
        <v>ok</v>
      </c>
      <c r="C33" t="str">
        <v>ok</v>
      </c>
      <c r="E33" t="str">
        <v>ok</v>
      </c>
    </row>
    <row r="35">
      <c r="D35" t="str">
        <v>FAT</v>
      </c>
      <c r="E35">
        <f>B31</f>
        <v>11972.478</v>
      </c>
      <c r="F35">
        <v>11972.478</v>
      </c>
    </row>
    <row r="36">
      <c r="D36" t="str">
        <v>LUC</v>
      </c>
      <c r="E36">
        <f>A32+C32+E32+G32+I32+K32</f>
        <v>1565.741058</v>
      </c>
      <c r="F36">
        <v>1565.7410579999998</v>
      </c>
    </row>
  </sheetData>
  <mergeCells count="2">
    <mergeCell ref="A1:K1"/>
    <mergeCell ref="B31:K31"/>
  </mergeCells>
  <ignoredErrors>
    <ignoredError numberStoredAsText="1" sqref="A1:I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36"/>
  <sheetViews>
    <sheetView workbookViewId="0" rightToLeft="0"/>
  </sheetViews>
  <sheetData>
    <row r="1">
      <c r="A1" t="str">
        <v>FEV</v>
      </c>
    </row>
    <row r="2">
      <c r="A2" t="str">
        <v>1615A</v>
      </c>
      <c r="C2">
        <v>1615</v>
      </c>
      <c r="E2" t="str">
        <v>1615A - 1615</v>
      </c>
      <c r="G2">
        <v>1605</v>
      </c>
      <c r="I2">
        <v>1701</v>
      </c>
      <c r="K2" t="str">
        <v>1701A</v>
      </c>
      <c r="M2" t="str">
        <v>1701 - 1701A</v>
      </c>
    </row>
    <row r="3">
      <c r="A3">
        <f xml:space="preserve"> 184-( 184*16%)</f>
        <v>154.56</v>
      </c>
      <c r="C3">
        <f>264.5-(264.5*16%)</f>
        <v>222.18</v>
      </c>
      <c r="E3">
        <f>(1266.06)/2*1</f>
        <v>633.03</v>
      </c>
      <c r="G3">
        <f>264.5-(264.5*16%)</f>
        <v>222.18</v>
      </c>
      <c r="I3">
        <f>359.83-(359.83*16%)</f>
        <v>302.2572</v>
      </c>
      <c r="K3">
        <f>(562.7)/2*1</f>
        <v>281.35</v>
      </c>
      <c r="M3">
        <v>0</v>
      </c>
    </row>
    <row r="4">
      <c r="A4">
        <f xml:space="preserve">  253-(  253*16%)</f>
        <v>212.52</v>
      </c>
      <c r="C4">
        <f>167.32-(167.32*16%)</f>
        <v>140.5488</v>
      </c>
      <c r="E4">
        <f>592.25-(592.25*16%)</f>
        <v>497.49</v>
      </c>
      <c r="G4">
        <f xml:space="preserve">  253-(  253*16%)</f>
        <v>212.52</v>
      </c>
      <c r="I4">
        <v>151.3</v>
      </c>
      <c r="K4">
        <f xml:space="preserve"> 372.59-( 372.59*16%)</f>
        <v>312.9756</v>
      </c>
      <c r="M4">
        <v>0</v>
      </c>
    </row>
    <row r="5" xml:space="preserve">
      <c r="A5">
        <f xml:space="preserve">  200.79-(  200.79*16%)</f>
        <v>168.6636</v>
      </c>
      <c r="C5">
        <f>382.38-(382.38*16%)</f>
        <v>321.1992</v>
      </c>
      <c r="E5">
        <f>717.6-(717.6*16%)</f>
        <v>602.784</v>
      </c>
      <c r="G5" xml:space="preserve">
        <f xml:space="preserve"> 230
-( 230
*16%)</f>
        <v>193.2</v>
      </c>
      <c r="I5">
        <f>911.37-(911.37*16%)</f>
        <v>765.5508</v>
      </c>
      <c r="K5">
        <f xml:space="preserve">  207-(  207*16%)</f>
        <v>173.88</v>
      </c>
      <c r="M5">
        <v>0</v>
      </c>
    </row>
    <row r="6">
      <c r="A6">
        <f xml:space="preserve">  360.53-(  360.53*16%)</f>
        <v>302.8452</v>
      </c>
      <c r="C6">
        <f>619.47-(619.47*16%)</f>
        <v>520.3548</v>
      </c>
      <c r="E6">
        <f>517.5-(517.5*16%)</f>
        <v>434.7</v>
      </c>
      <c r="G6">
        <f xml:space="preserve">  207-(  207*16%)</f>
        <v>173.88</v>
      </c>
      <c r="I6">
        <f>218.5-(218.5*16%)</f>
        <v>183.54</v>
      </c>
      <c r="K6">
        <f xml:space="preserve"> 360.31-( 360.31*16%)</f>
        <v>302.6604</v>
      </c>
      <c r="M6">
        <v>0</v>
      </c>
    </row>
    <row r="7" xml:space="preserve">
      <c r="A7">
        <f>218.5-(218.5*16%)</f>
        <v>183.54</v>
      </c>
      <c r="C7">
        <f>698.25-(698.25*16%)</f>
        <v>586.53</v>
      </c>
      <c r="E7">
        <f>368-(368*16%)</f>
        <v>309.12</v>
      </c>
      <c r="G7" xml:space="preserve">
        <f xml:space="preserve"> 230
-( 230
*16%)</f>
        <v>193.2</v>
      </c>
      <c r="I7">
        <f>1613.65-(1613.65*16%)</f>
        <v>1355.466</v>
      </c>
      <c r="K7">
        <f>167.32-(167.32*16%)</f>
        <v>140.5488</v>
      </c>
      <c r="M7">
        <v>0</v>
      </c>
    </row>
    <row r="8">
      <c r="A8">
        <f xml:space="preserve">   1027.94-(   1027.94*16%)</f>
        <v>863.4696</v>
      </c>
      <c r="C8">
        <f>721.05-(721.05*16%)</f>
        <v>605.682</v>
      </c>
      <c r="E8">
        <f>353.05-(353.05*16%)</f>
        <v>296.562</v>
      </c>
      <c r="G8">
        <v>189.74</v>
      </c>
      <c r="I8">
        <f xml:space="preserve"> 181.12-( 181.12*16%)</f>
        <v>152.1408</v>
      </c>
      <c r="K8">
        <f xml:space="preserve">  156.17-(  156.17*16%)</f>
        <v>131.1828</v>
      </c>
      <c r="M8">
        <v>0</v>
      </c>
    </row>
    <row r="9">
      <c r="A9">
        <v>0</v>
      </c>
      <c r="C9">
        <f xml:space="preserve"> 356.5-( 356.5*16%)</f>
        <v>299.46</v>
      </c>
      <c r="E9">
        <f>517.5-(517.5*16%)</f>
        <v>434.7</v>
      </c>
      <c r="G9">
        <v>322.25</v>
      </c>
      <c r="I9">
        <f xml:space="preserve"> 245.97-( 245.97*16%)</f>
        <v>206.6148</v>
      </c>
      <c r="K9">
        <f>218.5-(218.5*16%)</f>
        <v>183.54</v>
      </c>
      <c r="M9">
        <v>0</v>
      </c>
    </row>
    <row r="10">
      <c r="A10">
        <v>0</v>
      </c>
      <c r="C10">
        <f>(516.3)/3*2</f>
        <v>344.2</v>
      </c>
      <c r="E10">
        <v>0</v>
      </c>
      <c r="G10">
        <f xml:space="preserve"> 229.43-( 229.43*16%)</f>
        <v>192.7212</v>
      </c>
      <c r="I10">
        <f xml:space="preserve">  1335.26-(  1335.26*16%)</f>
        <v>1121.6184</v>
      </c>
      <c r="K10">
        <f xml:space="preserve">  214-(  214*16%)</f>
        <v>179.76</v>
      </c>
      <c r="M10">
        <v>0</v>
      </c>
    </row>
    <row r="11">
      <c r="A11">
        <v>0</v>
      </c>
      <c r="C11">
        <v>0</v>
      </c>
      <c r="E11">
        <v>0</v>
      </c>
      <c r="G11">
        <f xml:space="preserve"> 699.42-( 699.42*16%)</f>
        <v>587.5128</v>
      </c>
      <c r="I11">
        <f xml:space="preserve">  193.2-(  193.2*16%)</f>
        <v>162.288</v>
      </c>
      <c r="K11">
        <v>142.31</v>
      </c>
      <c r="M11">
        <v>0</v>
      </c>
    </row>
    <row r="12" xml:space="preserve">
      <c r="A12">
        <v>0</v>
      </c>
      <c r="C12">
        <v>0</v>
      </c>
      <c r="E12">
        <v>0</v>
      </c>
      <c r="G12">
        <v>265</v>
      </c>
      <c r="I12" xml:space="preserve">
        <f xml:space="preserve"> 230
-( 230
*16%)</f>
        <v>193.2</v>
      </c>
      <c r="K12">
        <f>161-(161*16%)</f>
        <v>135.24</v>
      </c>
      <c r="M12">
        <v>0</v>
      </c>
    </row>
    <row r="13">
      <c r="A13">
        <v>0</v>
      </c>
      <c r="C13">
        <v>0</v>
      </c>
      <c r="E13">
        <v>0</v>
      </c>
      <c r="G13">
        <f>267.72-(267.72*16%)</f>
        <v>224.8848</v>
      </c>
      <c r="I13">
        <v>0</v>
      </c>
      <c r="K13">
        <f>320.1-(320.1*10%)</f>
        <v>288.09</v>
      </c>
      <c r="M13">
        <v>0</v>
      </c>
    </row>
    <row r="14">
      <c r="A14">
        <v>0</v>
      </c>
      <c r="C14">
        <v>0</v>
      </c>
      <c r="E14">
        <v>0</v>
      </c>
      <c r="G14">
        <v>0</v>
      </c>
      <c r="I14">
        <v>0</v>
      </c>
      <c r="K14">
        <f>699.2-(699.2*16%)</f>
        <v>587.328</v>
      </c>
      <c r="M14">
        <v>0</v>
      </c>
    </row>
    <row r="15">
      <c r="A15">
        <v>0</v>
      </c>
      <c r="C15">
        <v>0</v>
      </c>
      <c r="E15">
        <v>0</v>
      </c>
      <c r="G15">
        <v>0</v>
      </c>
      <c r="I15">
        <v>0</v>
      </c>
      <c r="K15">
        <f xml:space="preserve"> 356.5-( 356.5*16%)</f>
        <v>299.46</v>
      </c>
      <c r="M15">
        <v>0</v>
      </c>
    </row>
    <row r="16">
      <c r="A16">
        <v>0</v>
      </c>
      <c r="C16">
        <v>0</v>
      </c>
      <c r="E16">
        <v>0</v>
      </c>
      <c r="G16">
        <v>0</v>
      </c>
      <c r="I16">
        <v>0</v>
      </c>
      <c r="K16">
        <v>0</v>
      </c>
      <c r="M16">
        <v>0</v>
      </c>
    </row>
    <row r="17">
      <c r="A17">
        <v>0</v>
      </c>
      <c r="C17">
        <v>0</v>
      </c>
      <c r="E17">
        <v>0</v>
      </c>
      <c r="G17">
        <v>0</v>
      </c>
      <c r="I17">
        <v>0</v>
      </c>
      <c r="K17">
        <v>0</v>
      </c>
      <c r="M17">
        <v>0</v>
      </c>
    </row>
    <row r="18">
      <c r="A18">
        <v>0</v>
      </c>
      <c r="C18">
        <v>0</v>
      </c>
      <c r="E18">
        <v>0</v>
      </c>
      <c r="G18">
        <v>0</v>
      </c>
      <c r="I18">
        <v>0</v>
      </c>
      <c r="K18">
        <v>0</v>
      </c>
      <c r="M18">
        <v>0</v>
      </c>
    </row>
    <row r="19">
      <c r="A19">
        <v>0</v>
      </c>
      <c r="C19">
        <v>0</v>
      </c>
      <c r="E19">
        <v>0</v>
      </c>
      <c r="G19">
        <v>0</v>
      </c>
      <c r="I19">
        <v>0</v>
      </c>
      <c r="K19">
        <v>0</v>
      </c>
      <c r="M19">
        <v>0</v>
      </c>
    </row>
    <row r="20">
      <c r="A20">
        <v>0</v>
      </c>
      <c r="C20">
        <v>0</v>
      </c>
      <c r="E20">
        <v>0</v>
      </c>
      <c r="G20">
        <v>0</v>
      </c>
      <c r="I20">
        <v>0</v>
      </c>
      <c r="K20">
        <v>0</v>
      </c>
      <c r="M20">
        <v>0</v>
      </c>
    </row>
    <row r="21">
      <c r="A21">
        <v>0</v>
      </c>
      <c r="C21">
        <v>0</v>
      </c>
      <c r="E21">
        <v>0</v>
      </c>
      <c r="G21">
        <v>0</v>
      </c>
      <c r="I21">
        <v>0</v>
      </c>
      <c r="K21">
        <v>0</v>
      </c>
      <c r="M21">
        <v>0</v>
      </c>
    </row>
    <row r="22">
      <c r="A22">
        <v>0</v>
      </c>
      <c r="C22">
        <v>0</v>
      </c>
      <c r="E22">
        <v>0</v>
      </c>
      <c r="G22">
        <v>0</v>
      </c>
      <c r="I22">
        <v>0</v>
      </c>
      <c r="K22">
        <v>0</v>
      </c>
      <c r="M22">
        <v>0</v>
      </c>
    </row>
    <row r="23">
      <c r="A23">
        <v>0</v>
      </c>
      <c r="C23">
        <v>0</v>
      </c>
      <c r="E23">
        <v>0</v>
      </c>
      <c r="G23">
        <v>0</v>
      </c>
      <c r="I23">
        <v>0</v>
      </c>
      <c r="K23">
        <v>0</v>
      </c>
      <c r="M23">
        <v>0</v>
      </c>
    </row>
    <row r="24">
      <c r="A24">
        <v>0</v>
      </c>
      <c r="C24">
        <v>0</v>
      </c>
      <c r="E24">
        <v>0</v>
      </c>
      <c r="G24">
        <v>0</v>
      </c>
      <c r="I24">
        <v>0</v>
      </c>
      <c r="K24">
        <v>0</v>
      </c>
      <c r="M24">
        <v>0</v>
      </c>
      <c r="P24" t="str">
        <v>booking</v>
      </c>
    </row>
    <row r="25">
      <c r="A25">
        <v>0</v>
      </c>
      <c r="C25">
        <v>0</v>
      </c>
      <c r="E25">
        <v>0</v>
      </c>
      <c r="G25">
        <v>0</v>
      </c>
      <c r="I25">
        <v>0</v>
      </c>
      <c r="K25">
        <v>0</v>
      </c>
      <c r="M25">
        <v>0</v>
      </c>
      <c r="P25" t="str">
        <v>airbnb</v>
      </c>
    </row>
    <row r="26">
      <c r="A26">
        <v>0</v>
      </c>
      <c r="C26">
        <v>0</v>
      </c>
      <c r="E26">
        <v>0</v>
      </c>
      <c r="G26">
        <v>0</v>
      </c>
      <c r="I26">
        <v>0</v>
      </c>
      <c r="K26">
        <v>0</v>
      </c>
      <c r="M26">
        <v>0</v>
      </c>
      <c r="P26" t="str">
        <v>alugueasy</v>
      </c>
    </row>
    <row r="27">
      <c r="A27">
        <v>0</v>
      </c>
      <c r="C27">
        <v>0</v>
      </c>
      <c r="E27">
        <v>0</v>
      </c>
      <c r="G27">
        <v>0</v>
      </c>
      <c r="I27">
        <v>0</v>
      </c>
      <c r="K27">
        <v>0</v>
      </c>
      <c r="M27">
        <v>0</v>
      </c>
    </row>
    <row r="28">
      <c r="A28">
        <v>0</v>
      </c>
      <c r="C28">
        <v>0</v>
      </c>
      <c r="E28">
        <v>0</v>
      </c>
      <c r="G28">
        <v>0</v>
      </c>
      <c r="I28">
        <v>0</v>
      </c>
      <c r="K28">
        <v>0</v>
      </c>
      <c r="M28">
        <v>0</v>
      </c>
    </row>
    <row r="29">
      <c r="A29">
        <v>0</v>
      </c>
      <c r="C29">
        <v>0</v>
      </c>
      <c r="E29">
        <v>0</v>
      </c>
      <c r="G29">
        <v>0</v>
      </c>
      <c r="I29">
        <v>0</v>
      </c>
      <c r="K29">
        <v>0</v>
      </c>
      <c r="M29">
        <v>0</v>
      </c>
    </row>
    <row r="30">
      <c r="A30">
        <f>SUM(A3:A29)</f>
        <v>1885.5984</v>
      </c>
      <c r="C30">
        <f>SUM(C3:C29)</f>
        <v>3040.1548</v>
      </c>
      <c r="E30">
        <f>SUM(E3:E29)+A30+C30</f>
        <v>8134.1392</v>
      </c>
      <c r="G30">
        <f>SUM(G3:G29)</f>
        <v>2777.0888</v>
      </c>
      <c r="I30">
        <f>SUM(I3:I29)</f>
        <v>4593.976</v>
      </c>
      <c r="K30">
        <f>SUM(K3:K29)</f>
        <v>3158.3256</v>
      </c>
      <c r="M30">
        <f>SUM(M3:M29)+I30+K30</f>
        <v>7752.3016</v>
      </c>
    </row>
    <row r="31">
      <c r="A31" t="str">
        <v>TOTAL</v>
      </c>
      <c r="B31">
        <f>E30+G30+M30</f>
        <v>18663.5296</v>
      </c>
    </row>
    <row r="32">
      <c r="E32">
        <f>(E30)*15%</f>
        <v>1220.12088</v>
      </c>
      <c r="G32">
        <f>(G30)*15%</f>
        <v>416.56332</v>
      </c>
      <c r="M32">
        <f>(M30)*15%</f>
        <v>1162.84524</v>
      </c>
    </row>
    <row r="33">
      <c r="E33" t="str">
        <v>ok</v>
      </c>
      <c r="G33" t="str">
        <v>ok</v>
      </c>
      <c r="M33" t="str">
        <v>ok</v>
      </c>
    </row>
    <row r="35">
      <c r="E35" t="str">
        <v>FAT</v>
      </c>
      <c r="F35">
        <f>B31</f>
        <v>18663.5296</v>
      </c>
      <c r="G35">
        <v>18663.529599999998</v>
      </c>
    </row>
    <row r="36">
      <c r="E36" t="str">
        <v>LUC</v>
      </c>
      <c r="F36">
        <f>A32+C32+E32+G32+I32+K32+M32</f>
        <v>2799.52944</v>
      </c>
      <c r="G36">
        <v>2799.52944</v>
      </c>
    </row>
  </sheetData>
  <mergeCells count="2">
    <mergeCell ref="A1:M1"/>
    <mergeCell ref="B31:K31"/>
  </mergeCells>
  <ignoredErrors>
    <ignoredError numberStoredAsText="1" sqref="A1:P3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9"/>
  <sheetViews>
    <sheetView workbookViewId="0" rightToLeft="0"/>
  </sheetViews>
  <sheetData>
    <row r="1">
      <c r="A1" t="str">
        <v>FEV</v>
      </c>
    </row>
    <row r="2">
      <c r="A2">
        <v>106</v>
      </c>
      <c r="B2" t="str">
        <v/>
      </c>
      <c r="C2">
        <v>606</v>
      </c>
      <c r="D2" t="str">
        <v/>
      </c>
      <c r="E2" t="str">
        <v>-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>
        <v>131.979</v>
      </c>
      <c r="B3" t="str">
        <v/>
      </c>
      <c r="C3">
        <v>136.068</v>
      </c>
      <c r="D3" t="str">
        <v/>
      </c>
      <c r="E3">
        <v>0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>
        <v>168.084</v>
      </c>
      <c r="B4" t="str">
        <v/>
      </c>
      <c r="C4">
        <v>1720.3728</v>
      </c>
      <c r="D4" t="str">
        <v/>
      </c>
      <c r="E4">
        <v>0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>
        <v>190.095</v>
      </c>
      <c r="B5" t="str">
        <v/>
      </c>
      <c r="C5">
        <v>0</v>
      </c>
      <c r="D5" t="str">
        <v/>
      </c>
      <c r="E5">
        <v>0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>
        <v>170.085</v>
      </c>
      <c r="B6" t="str">
        <v/>
      </c>
      <c r="C6">
        <v>0</v>
      </c>
      <c r="D6" t="str">
        <v/>
      </c>
      <c r="E6">
        <v>0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>
        <v>145.5684</v>
      </c>
      <c r="B7" t="str">
        <v/>
      </c>
      <c r="C7">
        <v>0</v>
      </c>
      <c r="D7" t="str">
        <v/>
      </c>
      <c r="E7">
        <v>0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>
        <v>1511.2683</v>
      </c>
      <c r="B8" t="str">
        <v/>
      </c>
      <c r="C8">
        <v>0</v>
      </c>
      <c r="D8" t="str">
        <v/>
      </c>
      <c r="E8">
        <v>0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>
        <v>2317.0797</v>
      </c>
      <c r="B9" t="str">
        <v/>
      </c>
      <c r="C9">
        <v>1856.4408</v>
      </c>
      <c r="D9" t="str">
        <v/>
      </c>
      <c r="E9">
        <v>0</v>
      </c>
      <c r="F9" t="str">
        <v/>
      </c>
      <c r="G9" t="str">
        <v/>
      </c>
      <c r="H9" t="str">
        <v/>
      </c>
      <c r="I9" t="str">
        <v/>
      </c>
      <c r="J9" t="str">
        <v/>
      </c>
    </row>
  </sheetData>
  <ignoredErrors>
    <ignoredError numberStoredAsText="1" sqref="A1:J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t="str">
        <v>FEV</v>
      </c>
    </row>
    <row r="2">
      <c r="A2">
        <v>207</v>
      </c>
      <c r="B2" t="str">
        <v/>
      </c>
      <c r="C2">
        <v>0</v>
      </c>
      <c r="D2" t="str">
        <v/>
      </c>
      <c r="E2">
        <v>234</v>
      </c>
      <c r="F2" t="str">
        <v/>
      </c>
      <c r="G2">
        <v>234</v>
      </c>
      <c r="H2" t="str">
        <v/>
      </c>
      <c r="I2" t="str">
        <v/>
      </c>
      <c r="J2" t="str">
        <v/>
      </c>
      <c r="K2" t="str">
        <v/>
      </c>
    </row>
    <row r="3">
      <c r="A3">
        <v>207</v>
      </c>
      <c r="B3" t="str">
        <v/>
      </c>
      <c r="C3">
        <v>0</v>
      </c>
      <c r="D3" t="str">
        <v/>
      </c>
      <c r="E3">
        <v>234</v>
      </c>
      <c r="F3" t="str">
        <v/>
      </c>
      <c r="G3">
        <v>504</v>
      </c>
      <c r="H3" t="str">
        <v/>
      </c>
      <c r="I3" t="str">
        <v/>
      </c>
      <c r="J3" t="str">
        <v/>
      </c>
      <c r="K3" t="str">
        <v/>
      </c>
    </row>
    <row r="4">
      <c r="A4">
        <v>234</v>
      </c>
      <c r="B4" t="str">
        <v/>
      </c>
      <c r="C4">
        <v>0</v>
      </c>
      <c r="D4" t="str">
        <v/>
      </c>
      <c r="E4">
        <v>644.238</v>
      </c>
      <c r="F4" t="str">
        <v/>
      </c>
      <c r="G4">
        <v>550.6284</v>
      </c>
      <c r="H4" t="str">
        <v/>
      </c>
      <c r="I4" t="str">
        <v/>
      </c>
      <c r="J4" t="str">
        <v/>
      </c>
      <c r="K4" t="str">
        <v/>
      </c>
    </row>
    <row r="5">
      <c r="A5">
        <v>1086.5568</v>
      </c>
      <c r="B5" t="str">
        <v/>
      </c>
      <c r="C5">
        <v>0</v>
      </c>
      <c r="D5" t="str">
        <v/>
      </c>
      <c r="E5">
        <v>642.39</v>
      </c>
      <c r="F5" t="str">
        <v/>
      </c>
      <c r="G5">
        <v>253.8396</v>
      </c>
      <c r="H5" t="str">
        <v/>
      </c>
      <c r="I5" t="str">
        <v/>
      </c>
      <c r="J5" t="str">
        <v/>
      </c>
      <c r="K5" t="str">
        <v/>
      </c>
    </row>
    <row r="6">
      <c r="A6">
        <v>196.7784</v>
      </c>
      <c r="B6" t="str">
        <v/>
      </c>
      <c r="C6">
        <v>0</v>
      </c>
      <c r="D6" t="str">
        <v/>
      </c>
      <c r="E6">
        <v>421.6632</v>
      </c>
      <c r="F6" t="str">
        <v/>
      </c>
      <c r="G6">
        <v>367.08</v>
      </c>
      <c r="H6" t="str">
        <v/>
      </c>
      <c r="I6" t="str">
        <v/>
      </c>
      <c r="J6" t="str">
        <v/>
      </c>
      <c r="K6" t="str">
        <v/>
      </c>
    </row>
    <row r="7">
      <c r="A7">
        <v>164.22</v>
      </c>
      <c r="B7" t="str">
        <v/>
      </c>
      <c r="C7">
        <v>0</v>
      </c>
      <c r="D7" t="str">
        <v/>
      </c>
      <c r="E7">
        <v>164.22</v>
      </c>
      <c r="F7" t="str">
        <v/>
      </c>
      <c r="G7">
        <v>224.8848</v>
      </c>
      <c r="H7" t="str">
        <v/>
      </c>
      <c r="I7" t="str">
        <v/>
      </c>
      <c r="J7" t="str">
        <v/>
      </c>
      <c r="K7" t="str">
        <v/>
      </c>
    </row>
    <row r="8">
      <c r="A8">
        <v>593.1408</v>
      </c>
      <c r="B8" t="str">
        <v/>
      </c>
      <c r="C8">
        <v>0</v>
      </c>
      <c r="D8" t="str">
        <v/>
      </c>
      <c r="E8">
        <v>241.5</v>
      </c>
      <c r="F8" t="str">
        <v/>
      </c>
      <c r="G8">
        <v>1017.9876</v>
      </c>
      <c r="H8" t="str">
        <v/>
      </c>
      <c r="I8" t="str">
        <v/>
      </c>
      <c r="J8" t="str">
        <v/>
      </c>
      <c r="K8" t="str">
        <v/>
      </c>
    </row>
    <row r="9">
      <c r="A9">
        <v>193.2</v>
      </c>
      <c r="B9" t="str">
        <v/>
      </c>
      <c r="C9">
        <v>0</v>
      </c>
      <c r="D9" t="str">
        <v/>
      </c>
      <c r="E9">
        <v>193.2</v>
      </c>
      <c r="F9" t="str">
        <v/>
      </c>
      <c r="G9">
        <v>1220.27</v>
      </c>
      <c r="H9" t="str">
        <v/>
      </c>
      <c r="I9" t="str">
        <v/>
      </c>
      <c r="J9" t="str">
        <v/>
      </c>
      <c r="K9" t="str">
        <v/>
      </c>
    </row>
    <row r="10">
      <c r="A10">
        <v>309.12</v>
      </c>
      <c r="B10" t="str">
        <v/>
      </c>
      <c r="C10">
        <v>0</v>
      </c>
      <c r="D10" t="str">
        <v/>
      </c>
      <c r="E10">
        <v>1477.5012</v>
      </c>
      <c r="F10" t="str">
        <v/>
      </c>
      <c r="G10">
        <v>0</v>
      </c>
      <c r="H10" t="str">
        <v/>
      </c>
      <c r="I10" t="str">
        <v/>
      </c>
      <c r="J10" t="str">
        <v/>
      </c>
      <c r="K10" t="str">
        <v/>
      </c>
    </row>
    <row r="11">
      <c r="A11">
        <v>412.2888</v>
      </c>
      <c r="B11" t="str">
        <v/>
      </c>
      <c r="C11">
        <v>0</v>
      </c>
      <c r="D11" t="str">
        <v/>
      </c>
      <c r="E11">
        <v>315</v>
      </c>
      <c r="F11" t="str">
        <v/>
      </c>
      <c r="G11">
        <v>0</v>
      </c>
      <c r="H11" t="str">
        <v/>
      </c>
      <c r="I11" t="str">
        <v/>
      </c>
      <c r="J11" t="str">
        <v/>
      </c>
      <c r="K11" t="str">
        <v/>
      </c>
    </row>
    <row r="12">
      <c r="A12">
        <v>598.92</v>
      </c>
      <c r="B12" t="str">
        <v/>
      </c>
      <c r="C12">
        <v>0</v>
      </c>
      <c r="D12" t="str">
        <v/>
      </c>
      <c r="E12">
        <v>301.392</v>
      </c>
      <c r="F12" t="str">
        <v/>
      </c>
      <c r="G12">
        <v>0</v>
      </c>
      <c r="H12" t="str">
        <v/>
      </c>
      <c r="I12" t="str">
        <v/>
      </c>
      <c r="J12" t="str">
        <v/>
      </c>
      <c r="K12" t="str">
        <v/>
      </c>
    </row>
    <row r="13">
      <c r="A13">
        <v>222.18</v>
      </c>
      <c r="B13" t="str">
        <v/>
      </c>
      <c r="C13">
        <v>0</v>
      </c>
      <c r="D13" t="str">
        <v/>
      </c>
      <c r="E13">
        <v>0</v>
      </c>
      <c r="F13" t="str">
        <v/>
      </c>
      <c r="G13">
        <v>0</v>
      </c>
      <c r="H13" t="str">
        <v/>
      </c>
      <c r="I13" t="str">
        <v/>
      </c>
      <c r="J13" t="str">
        <v/>
      </c>
      <c r="K13" t="str">
        <v>booking</v>
      </c>
    </row>
    <row r="14">
      <c r="A14">
        <v>279.2328</v>
      </c>
      <c r="B14" t="str">
        <v/>
      </c>
      <c r="C14">
        <v>0</v>
      </c>
      <c r="D14" t="str">
        <v/>
      </c>
      <c r="E14">
        <v>0</v>
      </c>
      <c r="F14" t="str">
        <v/>
      </c>
      <c r="G14">
        <v>0</v>
      </c>
      <c r="H14" t="str">
        <v/>
      </c>
      <c r="I14" t="str">
        <v/>
      </c>
      <c r="J14" t="str">
        <v/>
      </c>
      <c r="K14" t="str">
        <v>airbnb</v>
      </c>
    </row>
    <row r="15">
      <c r="A15">
        <v>6481.0492</v>
      </c>
      <c r="B15" t="str">
        <v/>
      </c>
      <c r="C15">
        <v>6871.810345</v>
      </c>
      <c r="D15" t="str">
        <v/>
      </c>
      <c r="E15">
        <v>6416.0796</v>
      </c>
      <c r="F15" t="str">
        <v/>
      </c>
      <c r="G15">
        <v>6156.9026</v>
      </c>
      <c r="H15" t="str">
        <v/>
      </c>
      <c r="I15" t="str">
        <v/>
      </c>
      <c r="J15" t="str">
        <v/>
      </c>
      <c r="K15" t="str">
        <v/>
      </c>
    </row>
  </sheetData>
  <ignoredErrors>
    <ignoredError numberStoredAsText="1" sqref="A1:K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8"/>
  <sheetViews>
    <sheetView workbookViewId="0" rightToLeft="0"/>
  </sheetViews>
  <sheetData>
    <row r="1">
      <c r="A1" t="str">
        <v>FEV - ADM</v>
      </c>
    </row>
    <row r="2">
      <c r="A2" t="str">
        <v>ESSENCE</v>
      </c>
      <c r="C2" t="str">
        <v>EASY</v>
      </c>
      <c r="E2" t="str">
        <v>CULLINAN</v>
      </c>
      <c r="G2" t="str">
        <v>ATHOS</v>
      </c>
      <c r="I2" t="str">
        <v>NOBILE</v>
      </c>
      <c r="K2" t="str">
        <v>FUSION</v>
      </c>
      <c r="M2" t="str">
        <v>MERCURE</v>
      </c>
      <c r="O2" t="str">
        <v>METROPOLITAN</v>
      </c>
      <c r="Q2" t="str">
        <v>RAMADA</v>
      </c>
      <c r="S2" t="str">
        <v>BRISAS</v>
      </c>
    </row>
    <row r="3">
      <c r="A3">
        <v>42731.2542</v>
      </c>
      <c r="B3" t="str">
        <v>FAT</v>
      </c>
      <c r="C3">
        <v>15392.9222</v>
      </c>
      <c r="D3" t="str">
        <v>FAT</v>
      </c>
      <c r="E3">
        <v>5899.9768</v>
      </c>
      <c r="F3" t="str">
        <v>FAT</v>
      </c>
      <c r="G3">
        <v>5303.8532000000005</v>
      </c>
      <c r="H3" t="str">
        <v>FAT</v>
      </c>
      <c r="I3">
        <v>2622.2442</v>
      </c>
      <c r="J3" t="str">
        <v>FAT</v>
      </c>
      <c r="K3">
        <v>10363.5685</v>
      </c>
      <c r="L3" t="str">
        <v>FAT</v>
      </c>
      <c r="M3">
        <v>11972.478</v>
      </c>
      <c r="N3" t="str">
        <v>FAT</v>
      </c>
      <c r="O3">
        <v>18663.529599999998</v>
      </c>
      <c r="P3" t="str">
        <v>FAT</v>
      </c>
      <c r="Q3">
        <v>4173.5205000000005</v>
      </c>
      <c r="R3" t="str">
        <v>FAT</v>
      </c>
      <c r="S3">
        <v>25925.841744827587</v>
      </c>
    </row>
    <row r="4">
      <c r="A4">
        <v>3984.84213</v>
      </c>
      <c r="B4" t="str">
        <v>LUC</v>
      </c>
      <c r="C4">
        <v>1830.691455</v>
      </c>
      <c r="D4" t="str">
        <v>LUC</v>
      </c>
      <c r="E4">
        <v>611.6492560000002</v>
      </c>
      <c r="F4" t="str">
        <v>LUC</v>
      </c>
      <c r="G4">
        <v>490.5100440000001</v>
      </c>
      <c r="H4" t="str">
        <v>LUC</v>
      </c>
      <c r="I4">
        <v>267.581556</v>
      </c>
      <c r="J4" t="str">
        <v>LUC</v>
      </c>
      <c r="K4">
        <v>856.7349299999998</v>
      </c>
      <c r="L4" t="str">
        <v>LUC</v>
      </c>
      <c r="M4">
        <v>1565.7410579999998</v>
      </c>
      <c r="N4" t="str">
        <v>LUC</v>
      </c>
      <c r="O4">
        <v>2799.52944</v>
      </c>
      <c r="P4" t="str">
        <v>LUC</v>
      </c>
      <c r="Q4">
        <v>-94.54310999999998</v>
      </c>
      <c r="R4" t="str">
        <v>LUC</v>
      </c>
      <c r="S4">
        <v>2393.710026068966</v>
      </c>
    </row>
    <row r="5">
      <c r="A5">
        <v>0</v>
      </c>
      <c r="C5">
        <v>0</v>
      </c>
      <c r="E5">
        <v>0</v>
      </c>
      <c r="G5">
        <v>0</v>
      </c>
      <c r="I5">
        <v>0</v>
      </c>
      <c r="K5">
        <v>0</v>
      </c>
      <c r="M5">
        <v>0</v>
      </c>
      <c r="O5">
        <v>0</v>
      </c>
      <c r="Q5">
        <v>0</v>
      </c>
      <c r="S5">
        <v>0</v>
      </c>
    </row>
    <row r="6">
      <c r="A6">
        <v>0</v>
      </c>
      <c r="C6">
        <v>0</v>
      </c>
      <c r="E6">
        <v>0</v>
      </c>
      <c r="G6">
        <v>0</v>
      </c>
      <c r="I6">
        <v>0</v>
      </c>
      <c r="K6">
        <v>0</v>
      </c>
      <c r="M6">
        <v>0</v>
      </c>
      <c r="O6">
        <v>0</v>
      </c>
      <c r="Q6">
        <v>0</v>
      </c>
      <c r="S6">
        <v>0</v>
      </c>
    </row>
    <row r="7">
      <c r="A7" t="str">
        <v>TOTAL FAT</v>
      </c>
      <c r="B7">
        <f>A3+C3+E3+G3+I3+K3+M3+O3+Q3+S3</f>
        <v>143049.1889</v>
      </c>
    </row>
    <row r="8">
      <c r="A8" t="str">
        <v>TOTAL LUC</v>
      </c>
      <c r="B8">
        <f>A4+C4+E4+G4+I4+K4+M4+O4+Q4+S4</f>
        <v>14706.44679</v>
      </c>
    </row>
  </sheetData>
  <mergeCells count="3">
    <mergeCell ref="A1:T1"/>
    <mergeCell ref="B7:T7"/>
    <mergeCell ref="B8:T8"/>
  </mergeCells>
  <ignoredErrors>
    <ignoredError numberStoredAsText="1" sqref="A1:S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ESSENCE</vt:lpstr>
      <vt:lpstr>EASY</vt:lpstr>
      <vt:lpstr>CULLINAN</vt:lpstr>
      <vt:lpstr>ATHOS</vt:lpstr>
      <vt:lpstr>NOBILE</vt:lpstr>
      <vt:lpstr>FUSION</vt:lpstr>
      <vt:lpstr>MERCURE</vt:lpstr>
      <vt:lpstr>METROPOLITAN</vt:lpstr>
      <vt:lpstr>RAMADA</vt:lpstr>
      <vt:lpstr>BRISAS</vt:lpstr>
      <vt:lpstr>RESULTADO ADM 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