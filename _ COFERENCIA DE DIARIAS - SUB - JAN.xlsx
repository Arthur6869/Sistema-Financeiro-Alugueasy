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CE" sheetId="1" r:id="rId5"/>
    <sheet state="visible" name="CULLINAN" sheetId="2" r:id="rId6"/>
    <sheet state="visible" name="ATHOS" sheetId="3" r:id="rId7"/>
    <sheet state="visible" name="NOBILE" sheetId="4" r:id="rId8"/>
    <sheet state="visible" name="FUSION" sheetId="5" r:id="rId9"/>
    <sheet state="visible" name="METROPOLITAN" sheetId="6" r:id="rId10"/>
    <sheet state="visible" name="MERCURE" sheetId="7" r:id="rId11"/>
    <sheet state="visible" name="BRISAS" sheetId="8" r:id="rId12"/>
    <sheet state="visible" name="RESULTADO SUB MES" sheetId="9" r:id="rId13"/>
  </sheets>
  <definedNames/>
  <calcPr/>
</workbook>
</file>

<file path=xl/sharedStrings.xml><?xml version="1.0" encoding="utf-8"?>
<sst xmlns="http://schemas.openxmlformats.org/spreadsheetml/2006/main" count="88" uniqueCount="20">
  <si>
    <t>JANEIRO</t>
  </si>
  <si>
    <t>-</t>
  </si>
  <si>
    <t>TOTAL:</t>
  </si>
  <si>
    <t>FAT</t>
  </si>
  <si>
    <t>LUC</t>
  </si>
  <si>
    <t>TOTAL</t>
  </si>
  <si>
    <t>1214A</t>
  </si>
  <si>
    <t>A113</t>
  </si>
  <si>
    <t>A115</t>
  </si>
  <si>
    <t>A117</t>
  </si>
  <si>
    <t>E020</t>
  </si>
  <si>
    <t>ESSENCE</t>
  </si>
  <si>
    <t>CULLINAN</t>
  </si>
  <si>
    <t>ATHOS</t>
  </si>
  <si>
    <t>NOBILE</t>
  </si>
  <si>
    <t>FUSION</t>
  </si>
  <si>
    <t>METROPOLITAN</t>
  </si>
  <si>
    <t>BRISAS</t>
  </si>
  <si>
    <t>MERCURE</t>
  </si>
  <si>
    <t>TOTAL FAT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</si>
</sst>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333333"/>
      <name val="Overpass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3" fontId="3" numFmtId="164" xfId="0" applyAlignment="1" applyFont="1" applyNumberFormat="1">
      <alignment horizontal="center"/>
    </xf>
    <xf borderId="0" fillId="3" fontId="4" numFmtId="16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3" fontId="5" numFmtId="164" xfId="0" applyAlignment="1" applyFont="1" applyNumberFormat="1">
      <alignment horizontal="center" readingOrder="0" shrinkToFit="0" vertical="bottom" wrapText="0"/>
    </xf>
    <xf borderId="0" fillId="3" fontId="5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3" fontId="4" numFmtId="164" xfId="0" applyFont="1" applyNumberFormat="1"/>
    <xf borderId="0" fillId="3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3" fontId="4" numFmtId="0" xfId="0" applyAlignment="1" applyFont="1">
      <alignment horizontal="center"/>
    </xf>
    <xf borderId="0" fillId="3" fontId="6" numFmtId="164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3" fontId="7" numFmtId="0" xfId="0" applyAlignment="1" applyFont="1">
      <alignment readingOrder="0"/>
    </xf>
    <xf borderId="0" fillId="0" fontId="6" numFmtId="164" xfId="0" applyAlignment="1" applyFont="1" applyNumberFormat="1">
      <alignment horizontal="center" vertical="bottom"/>
    </xf>
    <xf borderId="0" fillId="3" fontId="6" numFmtId="164" xfId="0" applyAlignment="1" applyFont="1" applyNumberFormat="1">
      <alignment horizontal="center" vertical="bottom"/>
    </xf>
    <xf borderId="0" fillId="3" fontId="3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1" fillId="3" fontId="3" numFmtId="0" xfId="0" applyAlignment="1" applyBorder="1" applyFont="1">
      <alignment horizontal="center" readingOrder="0"/>
    </xf>
    <xf borderId="1" fillId="3" fontId="3" numFmtId="164" xfId="0" applyAlignment="1" applyBorder="1" applyFont="1" applyNumberFormat="1">
      <alignment horizontal="center"/>
    </xf>
    <xf borderId="0" fillId="2" fontId="3" numFmtId="164" xfId="0" applyAlignment="1" applyFont="1" applyNumberFormat="1">
      <alignment horizontal="center" readingOrder="0"/>
    </xf>
    <xf borderId="0" fillId="3" fontId="4" numFmtId="0" xfId="0" applyFont="1"/>
    <xf borderId="0" fillId="0" fontId="5" numFmtId="164" xfId="0" applyAlignment="1" applyFont="1" applyNumberFormat="1">
      <alignment horizontal="center" shrinkToFit="0" vertical="bottom" wrapText="0"/>
    </xf>
    <xf borderId="0" fillId="0" fontId="4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302.0</v>
      </c>
      <c r="B2" s="5"/>
      <c r="C2" s="6">
        <v>603.0</v>
      </c>
      <c r="D2" s="7"/>
      <c r="E2" s="8" t="s">
        <v>1</v>
      </c>
      <c r="F2" s="7"/>
      <c r="G2" s="8" t="s">
        <v>1</v>
      </c>
      <c r="H2" s="7"/>
      <c r="I2" s="8" t="s">
        <v>1</v>
      </c>
      <c r="J2" s="7"/>
      <c r="K2" s="8" t="s">
        <v>1</v>
      </c>
      <c r="L2" s="9"/>
      <c r="M2" s="10"/>
      <c r="N2" s="9"/>
      <c r="O2" s="10"/>
    </row>
    <row r="3">
      <c r="A3" s="11">
        <f>(2159.19)/5*4</f>
        <v>1727.352</v>
      </c>
      <c r="B3" s="12"/>
      <c r="C3" s="11">
        <f>264.5-(264.5*16%)</f>
        <v>222.18</v>
      </c>
      <c r="D3" s="9"/>
      <c r="E3" s="13">
        <v>0.0</v>
      </c>
      <c r="F3" s="9"/>
      <c r="G3" s="13">
        <v>0.0</v>
      </c>
      <c r="H3" s="9"/>
      <c r="I3" s="13">
        <v>0.0</v>
      </c>
      <c r="J3" s="9"/>
      <c r="K3" s="13">
        <v>0.0</v>
      </c>
      <c r="L3" s="9"/>
      <c r="M3" s="13"/>
      <c r="N3" s="9"/>
      <c r="O3" s="13"/>
    </row>
    <row r="4">
      <c r="A4" s="11">
        <v>382.76</v>
      </c>
      <c r="B4" s="12"/>
      <c r="C4" s="11">
        <f> 668.15-( 668.15*16%)</f>
        <v>561.246</v>
      </c>
      <c r="D4" s="9"/>
      <c r="E4" s="13">
        <v>0.0</v>
      </c>
      <c r="F4" s="9"/>
      <c r="G4" s="13">
        <v>0.0</v>
      </c>
      <c r="H4" s="9"/>
      <c r="I4" s="13">
        <v>0.0</v>
      </c>
      <c r="J4" s="9"/>
      <c r="K4" s="13">
        <v>0.0</v>
      </c>
      <c r="L4" s="9"/>
      <c r="M4" s="13"/>
      <c r="N4" s="9"/>
      <c r="O4" s="13"/>
    </row>
    <row r="5">
      <c r="A5" s="11">
        <v>638.68</v>
      </c>
      <c r="B5" s="12"/>
      <c r="C5" s="11">
        <f> 263.87-( 263.87*16%)</f>
        <v>221.6508</v>
      </c>
      <c r="D5" s="9"/>
      <c r="E5" s="13">
        <v>0.0</v>
      </c>
      <c r="F5" s="9"/>
      <c r="G5" s="13">
        <v>0.0</v>
      </c>
      <c r="H5" s="9"/>
      <c r="I5" s="13">
        <v>0.0</v>
      </c>
      <c r="J5" s="9"/>
      <c r="K5" s="13">
        <v>0.0</v>
      </c>
      <c r="L5" s="9"/>
      <c r="M5" s="13"/>
      <c r="N5" s="9"/>
      <c r="O5" s="13"/>
    </row>
    <row r="6">
      <c r="A6" s="11">
        <v>246.18</v>
      </c>
      <c r="B6" s="11"/>
      <c r="C6" s="11">
        <f> 347.88-( 347.88*16%)</f>
        <v>292.2192</v>
      </c>
      <c r="D6" s="9"/>
      <c r="E6" s="13">
        <v>0.0</v>
      </c>
      <c r="F6" s="9"/>
      <c r="G6" s="13">
        <v>0.0</v>
      </c>
      <c r="H6" s="9"/>
      <c r="I6" s="13">
        <v>0.0</v>
      </c>
      <c r="J6" s="9"/>
      <c r="K6" s="13">
        <v>0.0</v>
      </c>
      <c r="L6" s="9"/>
      <c r="M6" s="13"/>
      <c r="N6" s="9"/>
      <c r="O6" s="13"/>
    </row>
    <row r="7">
      <c r="A7" s="11">
        <v>227.36</v>
      </c>
      <c r="B7" s="11"/>
      <c r="C7" s="11">
        <f>  568.91-(  568.91*16%)</f>
        <v>477.8844</v>
      </c>
      <c r="D7" s="9"/>
      <c r="E7" s="13">
        <v>0.0</v>
      </c>
      <c r="F7" s="9"/>
      <c r="G7" s="13">
        <v>0.0</v>
      </c>
      <c r="H7" s="9"/>
      <c r="I7" s="13">
        <v>0.0</v>
      </c>
      <c r="J7" s="9"/>
      <c r="K7" s="13">
        <v>0.0</v>
      </c>
      <c r="L7" s="9"/>
      <c r="M7" s="13"/>
      <c r="N7" s="9"/>
      <c r="O7" s="13"/>
    </row>
    <row r="8">
      <c r="A8" s="11">
        <v>237.19</v>
      </c>
      <c r="B8" s="9"/>
      <c r="C8" s="11">
        <f>  1438.69-(  1438.69*16%)</f>
        <v>1208.4996</v>
      </c>
      <c r="D8" s="9"/>
      <c r="E8" s="13">
        <v>0.0</v>
      </c>
      <c r="F8" s="9"/>
      <c r="G8" s="13">
        <v>0.0</v>
      </c>
      <c r="H8" s="9"/>
      <c r="I8" s="13">
        <v>0.0</v>
      </c>
      <c r="J8" s="9"/>
      <c r="K8" s="13">
        <v>0.0</v>
      </c>
      <c r="L8" s="9"/>
      <c r="M8" s="13"/>
      <c r="N8" s="9"/>
      <c r="O8" s="13"/>
    </row>
    <row r="9">
      <c r="A9" s="11">
        <v>357.41</v>
      </c>
      <c r="B9" s="12"/>
      <c r="C9" s="11">
        <f>   289.8-(   289.8*16%)</f>
        <v>243.432</v>
      </c>
      <c r="D9" s="9"/>
      <c r="E9" s="13">
        <v>0.0</v>
      </c>
      <c r="F9" s="9"/>
      <c r="G9" s="13">
        <v>0.0</v>
      </c>
      <c r="H9" s="9"/>
      <c r="I9" s="13">
        <v>0.0</v>
      </c>
      <c r="J9" s="9"/>
      <c r="K9" s="13">
        <v>0.0</v>
      </c>
      <c r="L9" s="9"/>
      <c r="M9" s="13"/>
      <c r="N9" s="9"/>
      <c r="O9" s="13"/>
    </row>
    <row r="10">
      <c r="A10" s="11">
        <v>246.18</v>
      </c>
      <c r="B10" s="12"/>
      <c r="C10" s="11">
        <f>   366.85-(   366.85*16%)</f>
        <v>308.154</v>
      </c>
      <c r="D10" s="9"/>
      <c r="E10" s="13">
        <v>0.0</v>
      </c>
      <c r="F10" s="9"/>
      <c r="G10" s="13">
        <v>0.0</v>
      </c>
      <c r="H10" s="9"/>
      <c r="I10" s="13">
        <v>0.0</v>
      </c>
      <c r="J10" s="9"/>
      <c r="K10" s="13">
        <v>0.0</v>
      </c>
      <c r="L10" s="9"/>
      <c r="M10" s="13"/>
      <c r="N10" s="9"/>
      <c r="O10" s="13"/>
    </row>
    <row r="11">
      <c r="A11" s="11">
        <v>237.19</v>
      </c>
      <c r="B11" s="12"/>
      <c r="C11" s="11">
        <f>   256.56-(   256.56*16%)</f>
        <v>215.5104</v>
      </c>
      <c r="D11" s="9"/>
      <c r="E11" s="13">
        <v>0.0</v>
      </c>
      <c r="F11" s="9"/>
      <c r="G11" s="13">
        <v>0.0</v>
      </c>
      <c r="H11" s="9"/>
      <c r="I11" s="13">
        <v>0.0</v>
      </c>
      <c r="J11" s="9"/>
      <c r="K11" s="13">
        <v>0.0</v>
      </c>
      <c r="L11" s="9"/>
      <c r="M11" s="13"/>
      <c r="N11" s="9"/>
      <c r="O11" s="13"/>
    </row>
    <row r="12">
      <c r="A12" s="11">
        <v>413.02</v>
      </c>
      <c r="B12" s="12"/>
      <c r="C12" s="11">
        <f>   312.34-(   312.34*16%)</f>
        <v>262.3656</v>
      </c>
      <c r="D12" s="9"/>
      <c r="E12" s="13">
        <v>0.0</v>
      </c>
      <c r="F12" s="9"/>
      <c r="G12" s="13">
        <v>0.0</v>
      </c>
      <c r="H12" s="9"/>
      <c r="I12" s="13">
        <v>0.0</v>
      </c>
      <c r="J12" s="9"/>
      <c r="K12" s="13">
        <v>0.0</v>
      </c>
      <c r="L12" s="9"/>
      <c r="M12" s="13"/>
      <c r="N12" s="9"/>
      <c r="O12" s="13"/>
    </row>
    <row r="13">
      <c r="A13" s="11">
        <v>303.43</v>
      </c>
      <c r="B13" s="10"/>
      <c r="C13" s="11">
        <f>(873.49)/2*1</f>
        <v>436.745</v>
      </c>
      <c r="D13" s="9"/>
      <c r="E13" s="13">
        <v>0.0</v>
      </c>
      <c r="F13" s="9"/>
      <c r="G13" s="13">
        <v>0.0</v>
      </c>
      <c r="H13" s="9"/>
      <c r="I13" s="13">
        <v>0.0</v>
      </c>
      <c r="J13" s="9"/>
      <c r="K13" s="13">
        <v>0.0</v>
      </c>
      <c r="L13" s="9"/>
      <c r="M13" s="13"/>
      <c r="N13" s="9"/>
      <c r="O13" s="13"/>
    </row>
    <row r="14">
      <c r="A14" s="11">
        <v>373.77</v>
      </c>
      <c r="B14" s="12"/>
      <c r="C14" s="11">
        <v>0.0</v>
      </c>
      <c r="D14" s="9"/>
      <c r="E14" s="13">
        <v>0.0</v>
      </c>
      <c r="F14" s="9"/>
      <c r="G14" s="13">
        <v>0.0</v>
      </c>
      <c r="H14" s="9"/>
      <c r="I14" s="13">
        <v>0.0</v>
      </c>
      <c r="J14" s="9"/>
      <c r="K14" s="13">
        <v>0.0</v>
      </c>
      <c r="L14" s="9"/>
      <c r="M14" s="13"/>
      <c r="N14" s="9"/>
      <c r="O14" s="13"/>
    </row>
    <row r="15">
      <c r="A15" s="11">
        <v>464.55</v>
      </c>
      <c r="B15" s="12"/>
      <c r="C15" s="11">
        <v>0.0</v>
      </c>
      <c r="D15" s="9"/>
      <c r="E15" s="13">
        <v>0.0</v>
      </c>
      <c r="F15" s="9"/>
      <c r="G15" s="13">
        <v>0.0</v>
      </c>
      <c r="H15" s="9"/>
      <c r="I15" s="13">
        <v>0.0</v>
      </c>
      <c r="J15" s="9"/>
      <c r="K15" s="13">
        <v>0.0</v>
      </c>
      <c r="L15" s="9"/>
      <c r="M15" s="13"/>
      <c r="N15" s="9"/>
      <c r="O15" s="13"/>
    </row>
    <row r="16">
      <c r="A16" s="11">
        <f>280-(280*10%)</f>
        <v>252</v>
      </c>
      <c r="B16" s="12"/>
      <c r="C16" s="11">
        <v>0.0</v>
      </c>
      <c r="D16" s="9"/>
      <c r="E16" s="13">
        <v>0.0</v>
      </c>
      <c r="F16" s="9"/>
      <c r="G16" s="13">
        <v>0.0</v>
      </c>
      <c r="H16" s="9"/>
      <c r="I16" s="13">
        <v>0.0</v>
      </c>
      <c r="J16" s="9"/>
      <c r="K16" s="13">
        <v>0.0</v>
      </c>
      <c r="L16" s="9"/>
      <c r="M16" s="13"/>
      <c r="N16" s="9"/>
      <c r="O16" s="13"/>
    </row>
    <row r="17">
      <c r="A17" s="11">
        <v>588.05</v>
      </c>
      <c r="B17" s="12"/>
      <c r="C17" s="11">
        <v>0.0</v>
      </c>
      <c r="D17" s="9"/>
      <c r="E17" s="13">
        <v>0.0</v>
      </c>
      <c r="F17" s="9"/>
      <c r="G17" s="13">
        <v>0.0</v>
      </c>
      <c r="H17" s="9"/>
      <c r="I17" s="13">
        <v>0.0</v>
      </c>
      <c r="J17" s="9"/>
      <c r="K17" s="13">
        <v>0.0</v>
      </c>
      <c r="L17" s="9"/>
      <c r="M17" s="13"/>
      <c r="N17" s="9"/>
      <c r="O17" s="13"/>
    </row>
    <row r="18">
      <c r="A18" s="11">
        <v>0.0</v>
      </c>
      <c r="B18" s="9"/>
      <c r="C18" s="11">
        <v>0.0</v>
      </c>
      <c r="D18" s="9"/>
      <c r="E18" s="13">
        <v>0.0</v>
      </c>
      <c r="F18" s="9"/>
      <c r="G18" s="13">
        <v>0.0</v>
      </c>
      <c r="H18" s="9"/>
      <c r="I18" s="13">
        <v>0.0</v>
      </c>
      <c r="J18" s="9"/>
      <c r="K18" s="13">
        <v>0.0</v>
      </c>
      <c r="L18" s="9"/>
      <c r="M18" s="13"/>
      <c r="N18" s="9"/>
      <c r="O18" s="13"/>
    </row>
    <row r="19">
      <c r="A19" s="11">
        <v>0.0</v>
      </c>
      <c r="B19" s="12"/>
      <c r="C19" s="11">
        <v>0.0</v>
      </c>
      <c r="D19" s="9"/>
      <c r="E19" s="13">
        <v>0.0</v>
      </c>
      <c r="F19" s="9"/>
      <c r="G19" s="13">
        <v>0.0</v>
      </c>
      <c r="H19" s="9"/>
      <c r="I19" s="13">
        <v>0.0</v>
      </c>
      <c r="J19" s="9"/>
      <c r="K19" s="13">
        <v>0.0</v>
      </c>
      <c r="L19" s="9"/>
      <c r="M19" s="13"/>
      <c r="N19" s="9"/>
      <c r="O19" s="13"/>
    </row>
    <row r="20">
      <c r="A20" s="11">
        <v>0.0</v>
      </c>
      <c r="B20" s="12"/>
      <c r="C20" s="11">
        <v>0.0</v>
      </c>
      <c r="D20" s="10"/>
      <c r="E20" s="13">
        <v>0.0</v>
      </c>
      <c r="F20" s="9"/>
      <c r="G20" s="13">
        <v>0.0</v>
      </c>
      <c r="H20" s="9"/>
      <c r="I20" s="13">
        <v>0.0</v>
      </c>
      <c r="J20" s="9"/>
      <c r="K20" s="13">
        <v>0.0</v>
      </c>
      <c r="L20" s="9"/>
      <c r="M20" s="13"/>
      <c r="N20" s="9"/>
      <c r="O20" s="13"/>
    </row>
    <row r="21">
      <c r="A21" s="11">
        <v>0.0</v>
      </c>
      <c r="B21" s="12"/>
      <c r="C21" s="11">
        <v>0.0</v>
      </c>
      <c r="D21" s="9"/>
      <c r="E21" s="13">
        <v>0.0</v>
      </c>
      <c r="F21" s="9"/>
      <c r="G21" s="13">
        <v>0.0</v>
      </c>
      <c r="H21" s="9"/>
      <c r="I21" s="13">
        <v>0.0</v>
      </c>
      <c r="J21" s="9"/>
      <c r="K21" s="13">
        <v>0.0</v>
      </c>
      <c r="L21" s="9"/>
      <c r="M21" s="13"/>
      <c r="N21" s="9"/>
      <c r="O21" s="13"/>
    </row>
    <row r="22">
      <c r="A22" s="11">
        <v>0.0</v>
      </c>
      <c r="B22" s="9"/>
      <c r="C22" s="11">
        <v>0.0</v>
      </c>
      <c r="D22" s="9"/>
      <c r="E22" s="13">
        <v>0.0</v>
      </c>
      <c r="F22" s="9"/>
      <c r="G22" s="13">
        <v>0.0</v>
      </c>
      <c r="H22" s="9"/>
      <c r="I22" s="13">
        <v>0.0</v>
      </c>
      <c r="J22" s="9"/>
      <c r="K22" s="13">
        <v>0.0</v>
      </c>
      <c r="L22" s="9"/>
      <c r="M22" s="13"/>
      <c r="N22" s="9"/>
      <c r="O22" s="13"/>
    </row>
    <row r="23">
      <c r="A23" s="11">
        <v>0.0</v>
      </c>
      <c r="B23" s="9"/>
      <c r="C23" s="11">
        <v>0.0</v>
      </c>
      <c r="D23" s="9"/>
      <c r="E23" s="13">
        <v>0.0</v>
      </c>
      <c r="F23" s="9"/>
      <c r="G23" s="13">
        <v>0.0</v>
      </c>
      <c r="H23" s="9"/>
      <c r="I23" s="13">
        <v>0.0</v>
      </c>
      <c r="J23" s="9"/>
      <c r="K23" s="13">
        <v>0.0</v>
      </c>
      <c r="L23" s="9"/>
      <c r="M23" s="13"/>
      <c r="N23" s="9"/>
      <c r="O23" s="13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>
        <v>0.0</v>
      </c>
      <c r="H24" s="9"/>
      <c r="I24" s="13">
        <v>0.0</v>
      </c>
      <c r="J24" s="9"/>
      <c r="K24" s="13">
        <v>0.0</v>
      </c>
      <c r="L24" s="9"/>
      <c r="M24" s="13"/>
      <c r="N24" s="9"/>
      <c r="O24" s="13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L25" s="9"/>
      <c r="M25" s="13"/>
      <c r="N25" s="9"/>
      <c r="O25" s="13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L26" s="9"/>
      <c r="M26" s="13"/>
      <c r="N26" s="9"/>
      <c r="O26" s="13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L27" s="9"/>
      <c r="M27" s="13"/>
      <c r="N27" s="9"/>
      <c r="O27" s="13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L28" s="9"/>
      <c r="M28" s="13"/>
      <c r="N28" s="9"/>
      <c r="O28" s="13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L29" s="9"/>
      <c r="M29" s="13"/>
      <c r="N29" s="9"/>
      <c r="O29" s="13"/>
    </row>
    <row r="30">
      <c r="A30" s="14">
        <f>SUM(A3:A29)</f>
        <v>6695.122</v>
      </c>
      <c r="B30" s="9"/>
      <c r="C30" s="14">
        <f>SUM(C3:C29)</f>
        <v>4449.887</v>
      </c>
      <c r="D30" s="15"/>
      <c r="E30" s="14">
        <f>SUM(E3:E29)</f>
        <v>0</v>
      </c>
      <c r="F30" s="14"/>
      <c r="G30" s="14">
        <f>SUM(G3:G29)</f>
        <v>0</v>
      </c>
      <c r="H30" s="9"/>
      <c r="I30" s="14">
        <f>SUM(I3:I29)</f>
        <v>0</v>
      </c>
      <c r="J30" s="9"/>
      <c r="K30" s="14">
        <f>SUM(K3:K29)</f>
        <v>0</v>
      </c>
      <c r="L30" s="9"/>
      <c r="M30" s="14"/>
      <c r="N30" s="9"/>
      <c r="O30" s="14"/>
    </row>
    <row r="31">
      <c r="A31" s="8" t="s">
        <v>2</v>
      </c>
      <c r="B31" s="16">
        <f>A30+C30+E30+G30+I30+K30</f>
        <v>11145.009</v>
      </c>
    </row>
    <row r="32">
      <c r="A32" s="17">
        <f>(A30-6997.99)</f>
        <v>-302.868</v>
      </c>
      <c r="B32" s="17"/>
      <c r="C32" s="17">
        <f>(C30-6975.67)</f>
        <v>-2525.783</v>
      </c>
      <c r="D32" s="17"/>
      <c r="E32" s="17">
        <f>(E30-0)</f>
        <v>0</v>
      </c>
      <c r="F32" s="17"/>
      <c r="G32" s="17">
        <f>(G30-0)</f>
        <v>0</v>
      </c>
      <c r="H32" s="17"/>
      <c r="I32" s="17">
        <f>(I30-0)</f>
        <v>0</v>
      </c>
      <c r="J32" s="17"/>
      <c r="K32" s="17">
        <f>(K30-0)</f>
        <v>0</v>
      </c>
    </row>
    <row r="35">
      <c r="C35" s="18" t="s">
        <v>3</v>
      </c>
      <c r="D35" s="19">
        <f>B31</f>
        <v>11145.009</v>
      </c>
      <c r="E35" s="20">
        <v>11145.01</v>
      </c>
    </row>
    <row r="36">
      <c r="C36" s="18" t="s">
        <v>4</v>
      </c>
      <c r="D36" s="19">
        <f>A32+C32+E32+G32+I32+K32</f>
        <v>-2828.651</v>
      </c>
      <c r="E36" s="20">
        <v>-2828.65</v>
      </c>
    </row>
    <row r="37">
      <c r="E37" s="20"/>
    </row>
  </sheetData>
  <mergeCells count="2">
    <mergeCell ref="A1:K1"/>
    <mergeCell ref="B31:K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218.0</v>
      </c>
      <c r="B2" s="5"/>
      <c r="C2" s="6">
        <v>304.0</v>
      </c>
      <c r="D2" s="7"/>
      <c r="E2" s="6">
        <v>404.0</v>
      </c>
      <c r="F2" s="7"/>
      <c r="G2" s="6">
        <v>803.0</v>
      </c>
      <c r="H2" s="15"/>
      <c r="I2" s="6">
        <v>916.0</v>
      </c>
      <c r="J2" s="15"/>
      <c r="K2" s="21" t="s">
        <v>1</v>
      </c>
      <c r="L2" s="9"/>
      <c r="M2" s="10" t="s">
        <v>1</v>
      </c>
      <c r="N2" s="9"/>
      <c r="O2" s="10" t="s">
        <v>1</v>
      </c>
    </row>
    <row r="3">
      <c r="A3" s="11">
        <f>241.5-(241.5*16%)</f>
        <v>202.86</v>
      </c>
      <c r="B3" s="12"/>
      <c r="C3" s="11">
        <v>198.75</v>
      </c>
      <c r="D3" s="9"/>
      <c r="E3" s="13">
        <v>198.75</v>
      </c>
      <c r="F3" s="9"/>
      <c r="G3" s="13">
        <v>198.75</v>
      </c>
      <c r="H3" s="9"/>
      <c r="I3" s="13">
        <v>221.41</v>
      </c>
      <c r="J3" s="9"/>
      <c r="K3" s="13">
        <v>0.0</v>
      </c>
      <c r="L3" s="9"/>
      <c r="M3" s="13">
        <v>0.0</v>
      </c>
      <c r="N3" s="9"/>
      <c r="O3" s="13">
        <v>0.0</v>
      </c>
    </row>
    <row r="4">
      <c r="A4" s="11">
        <f>175.95-(175.95*16%)</f>
        <v>147.798</v>
      </c>
      <c r="B4" s="12"/>
      <c r="C4" s="11">
        <f>172.5-(172.5*16%)</f>
        <v>144.9</v>
      </c>
      <c r="D4" s="9"/>
      <c r="E4" s="13">
        <v>151.3</v>
      </c>
      <c r="F4" s="9"/>
      <c r="G4" s="13">
        <v>170.11</v>
      </c>
      <c r="H4" s="9"/>
      <c r="I4" s="13">
        <f>155.25-(155.25*16%)</f>
        <v>130.41</v>
      </c>
      <c r="J4" s="9"/>
      <c r="K4" s="13">
        <v>0.0</v>
      </c>
      <c r="L4" s="9"/>
      <c r="M4" s="13">
        <v>0.0</v>
      </c>
      <c r="N4" s="9"/>
      <c r="O4" s="13">
        <v>0.0</v>
      </c>
    </row>
    <row r="5">
      <c r="A5" s="11">
        <v>184.04</v>
      </c>
      <c r="B5" s="12"/>
      <c r="C5" s="11">
        <f>175.95-(175.95*16%)</f>
        <v>147.798</v>
      </c>
      <c r="D5" s="9"/>
      <c r="E5" s="13">
        <f>170.67-(170.67*16%)</f>
        <v>143.3628</v>
      </c>
      <c r="F5" s="9"/>
      <c r="G5" s="13">
        <f>175.95-(175.95*16%)</f>
        <v>147.798</v>
      </c>
      <c r="H5" s="9"/>
      <c r="I5" s="13">
        <f>165.6-(165.6*16%)</f>
        <v>139.104</v>
      </c>
      <c r="J5" s="9"/>
      <c r="K5" s="13">
        <v>0.0</v>
      </c>
      <c r="L5" s="9"/>
      <c r="M5" s="13">
        <v>0.0</v>
      </c>
      <c r="N5" s="9"/>
      <c r="O5" s="13">
        <v>0.0</v>
      </c>
    </row>
    <row r="6">
      <c r="A6" s="11">
        <f> 195.5-( 195.5*16%)</f>
        <v>164.22</v>
      </c>
      <c r="B6" s="11"/>
      <c r="C6" s="11">
        <f> 195.5-( 195.5*16%)</f>
        <v>164.22</v>
      </c>
      <c r="D6" s="9"/>
      <c r="E6" s="13">
        <v>161.12</v>
      </c>
      <c r="F6" s="9"/>
      <c r="G6" s="13">
        <f> 195.5-( 195.5*16%)</f>
        <v>164.22</v>
      </c>
      <c r="H6" s="9"/>
      <c r="I6" s="13">
        <f>186.3-(186.3*16%)</f>
        <v>156.492</v>
      </c>
      <c r="J6" s="9"/>
      <c r="K6" s="13">
        <v>0.0</v>
      </c>
      <c r="L6" s="9"/>
      <c r="M6" s="13">
        <v>0.0</v>
      </c>
      <c r="N6" s="9"/>
      <c r="O6" s="13">
        <v>0.0</v>
      </c>
    </row>
    <row r="7">
      <c r="A7" s="11">
        <f> 230-( 230*16%)</f>
        <v>193.2</v>
      </c>
      <c r="B7" s="11"/>
      <c r="C7" s="11">
        <f> 230-( 230*16%)</f>
        <v>193.2</v>
      </c>
      <c r="D7" s="9"/>
      <c r="E7" s="13">
        <v>217.56</v>
      </c>
      <c r="F7" s="9"/>
      <c r="G7" s="13">
        <f>207-(207*16%)</f>
        <v>173.88</v>
      </c>
      <c r="H7" s="9"/>
      <c r="I7" s="13">
        <f>477.14-(477.14*16%)</f>
        <v>400.7976</v>
      </c>
      <c r="J7" s="9"/>
      <c r="K7" s="13">
        <v>0.0</v>
      </c>
      <c r="L7" s="9"/>
      <c r="M7" s="13">
        <v>0.0</v>
      </c>
      <c r="N7" s="9"/>
      <c r="O7" s="13">
        <v>0.0</v>
      </c>
    </row>
    <row r="8">
      <c r="A8" s="11">
        <f> 245.41-( 245.41*16%)</f>
        <v>206.1444</v>
      </c>
      <c r="B8" s="9"/>
      <c r="C8" s="11">
        <f>189.63-(189.63*16%)</f>
        <v>159.2892</v>
      </c>
      <c r="D8" s="9"/>
      <c r="E8" s="13">
        <v>161.12</v>
      </c>
      <c r="F8" s="9"/>
      <c r="G8" s="13">
        <v>189.74</v>
      </c>
      <c r="H8" s="9"/>
      <c r="I8" s="13">
        <f>210.83-(210.83*16%)</f>
        <v>177.0972</v>
      </c>
      <c r="J8" s="9"/>
      <c r="K8" s="13">
        <v>0.0</v>
      </c>
      <c r="L8" s="9"/>
      <c r="M8" s="13">
        <v>0.0</v>
      </c>
      <c r="N8" s="9"/>
      <c r="O8" s="13">
        <v>0.0</v>
      </c>
    </row>
    <row r="9">
      <c r="A9" s="11">
        <f>207-(207*16%)</f>
        <v>173.88</v>
      </c>
      <c r="B9" s="12"/>
      <c r="C9" s="11">
        <f>230-(230*10%)</f>
        <v>207</v>
      </c>
      <c r="D9" s="9"/>
      <c r="E9" s="13">
        <v>429.38</v>
      </c>
      <c r="F9" s="9"/>
      <c r="G9" s="13">
        <v>161.12</v>
      </c>
      <c r="H9" s="9"/>
      <c r="I9" s="13">
        <f>180.71-(180.71*16%)</f>
        <v>151.7964</v>
      </c>
      <c r="J9" s="9"/>
      <c r="K9" s="13">
        <v>0.0</v>
      </c>
      <c r="L9" s="9"/>
      <c r="M9" s="13">
        <v>0.0</v>
      </c>
      <c r="N9" s="9"/>
      <c r="O9" s="13">
        <v>0.0</v>
      </c>
    </row>
    <row r="10">
      <c r="A10" s="11">
        <f>189.63-(189.63*16%)</f>
        <v>159.2892</v>
      </c>
      <c r="B10" s="12"/>
      <c r="C10" s="11">
        <f>234.26-(234.26*16%)</f>
        <v>196.7784</v>
      </c>
      <c r="D10" s="9"/>
      <c r="E10" s="13">
        <v>170.11</v>
      </c>
      <c r="F10" s="9"/>
      <c r="G10" s="13">
        <v>170.11</v>
      </c>
      <c r="H10" s="9"/>
      <c r="I10" s="13">
        <v>1663.96</v>
      </c>
      <c r="J10" s="9"/>
      <c r="K10" s="13">
        <v>0.0</v>
      </c>
      <c r="L10" s="9"/>
      <c r="M10" s="13">
        <v>0.0</v>
      </c>
      <c r="N10" s="9"/>
      <c r="O10" s="13">
        <v>0.0</v>
      </c>
    </row>
    <row r="11">
      <c r="A11" s="11">
        <v>503.78</v>
      </c>
      <c r="B11" s="12"/>
      <c r="C11" s="11">
        <f> 195.5-( 195.5*16%)</f>
        <v>164.22</v>
      </c>
      <c r="D11" s="9"/>
      <c r="E11" s="13">
        <v>170.11</v>
      </c>
      <c r="F11" s="9"/>
      <c r="G11" s="13">
        <f>230-(230*10%)</f>
        <v>207</v>
      </c>
      <c r="H11" s="9"/>
      <c r="I11" s="13">
        <f>479.66-(479.66*16%)</f>
        <v>402.9144</v>
      </c>
      <c r="J11" s="9"/>
      <c r="K11" s="13">
        <v>0.0</v>
      </c>
      <c r="L11" s="9"/>
      <c r="M11" s="13">
        <v>0.0</v>
      </c>
      <c r="N11" s="9"/>
      <c r="O11" s="13">
        <v>0.0</v>
      </c>
    </row>
    <row r="12">
      <c r="A12" s="22">
        <f> 230-( 230*16%)</f>
        <v>193.2</v>
      </c>
      <c r="B12" s="23"/>
      <c r="C12" s="11">
        <f>312.34-(312.34*16%)</f>
        <v>262.3656</v>
      </c>
      <c r="D12" s="9"/>
      <c r="E12" s="13">
        <v>227.36</v>
      </c>
      <c r="F12" s="9"/>
      <c r="G12" s="13">
        <v>170.11</v>
      </c>
      <c r="H12" s="9"/>
      <c r="I12" s="13">
        <f>216.41-(216.41*16%)</f>
        <v>181.7844</v>
      </c>
      <c r="J12" s="9"/>
      <c r="K12" s="13">
        <v>0.0</v>
      </c>
      <c r="L12" s="9"/>
      <c r="M12" s="13">
        <v>0.0</v>
      </c>
      <c r="N12" s="9"/>
      <c r="O12" s="13">
        <v>0.0</v>
      </c>
    </row>
    <row r="13">
      <c r="A13" s="11">
        <f> 500-( 500*10%)</f>
        <v>450</v>
      </c>
      <c r="B13" s="10"/>
      <c r="C13" s="11">
        <f>486.45-(486.45*16%)</f>
        <v>408.618</v>
      </c>
      <c r="D13" s="9"/>
      <c r="E13" s="13">
        <v>246.18</v>
      </c>
      <c r="F13" s="9"/>
      <c r="G13" s="13">
        <f> 195.5-( 195.5*16%)</f>
        <v>164.22</v>
      </c>
      <c r="H13" s="9"/>
      <c r="I13" s="13">
        <f>217.35-(217.35*16%)</f>
        <v>182.574</v>
      </c>
      <c r="J13" s="9"/>
      <c r="K13" s="13">
        <v>0.0</v>
      </c>
      <c r="L13" s="9"/>
      <c r="M13" s="13">
        <v>0.0</v>
      </c>
      <c r="N13" s="9"/>
      <c r="O13" s="13">
        <v>0.0</v>
      </c>
    </row>
    <row r="14">
      <c r="A14" s="11">
        <f> 320-( 320*10%)</f>
        <v>288</v>
      </c>
      <c r="B14" s="12"/>
      <c r="C14" s="22">
        <f> 230-( 230*16%)</f>
        <v>193.2</v>
      </c>
      <c r="D14" s="24"/>
      <c r="E14" s="13">
        <v>284.61</v>
      </c>
      <c r="F14" s="9"/>
      <c r="G14" s="13">
        <v>227.36</v>
      </c>
      <c r="H14" s="9"/>
      <c r="I14" s="13">
        <f>227.7-(227.7*16%)</f>
        <v>191.268</v>
      </c>
      <c r="J14" s="9"/>
      <c r="K14" s="13">
        <v>0.0</v>
      </c>
      <c r="L14" s="9"/>
      <c r="M14" s="13">
        <v>0.0</v>
      </c>
      <c r="N14" s="9"/>
      <c r="O14" s="13">
        <v>0.0</v>
      </c>
    </row>
    <row r="15">
      <c r="A15" s="11">
        <f> 701.65-( 701.65*16%)</f>
        <v>589.386</v>
      </c>
      <c r="B15" s="12"/>
      <c r="C15" s="11">
        <f> 500-( 500*10%)</f>
        <v>450</v>
      </c>
      <c r="D15" s="9"/>
      <c r="E15" s="13">
        <f>468.51-(468.51*16%)</f>
        <v>393.5484</v>
      </c>
      <c r="F15" s="9"/>
      <c r="G15" s="13">
        <v>350.86</v>
      </c>
      <c r="H15" s="9"/>
      <c r="I15" s="13">
        <f> 245.41-( 245.41*16%)</f>
        <v>206.1444</v>
      </c>
      <c r="J15" s="9"/>
      <c r="K15" s="13">
        <v>0.0</v>
      </c>
      <c r="L15" s="9"/>
      <c r="M15" s="13">
        <v>0.0</v>
      </c>
      <c r="N15" s="9"/>
      <c r="O15" s="13">
        <v>0.0</v>
      </c>
    </row>
    <row r="16">
      <c r="A16" s="11">
        <f> 1037.88-( 1037.88*16%)</f>
        <v>871.8192</v>
      </c>
      <c r="B16" s="12"/>
      <c r="C16" s="11">
        <f>471.5-(471.5*16%)</f>
        <v>396.06</v>
      </c>
      <c r="D16" s="9"/>
      <c r="E16" s="13">
        <f> 281.33-( 281.33*16%)</f>
        <v>236.3172</v>
      </c>
      <c r="F16" s="9"/>
      <c r="G16" s="13">
        <v>265.0</v>
      </c>
      <c r="H16" s="9"/>
      <c r="I16" s="13">
        <f>259.69-(259.69*16%)</f>
        <v>218.1396</v>
      </c>
      <c r="J16" s="9"/>
      <c r="K16" s="13">
        <v>0.0</v>
      </c>
      <c r="L16" s="9"/>
      <c r="M16" s="13">
        <v>0.0</v>
      </c>
      <c r="N16" s="9"/>
      <c r="O16" s="13">
        <v>0.0</v>
      </c>
    </row>
    <row r="17">
      <c r="A17" s="11">
        <f> 230-( 230*16%)</f>
        <v>193.2</v>
      </c>
      <c r="B17" s="12"/>
      <c r="C17" s="11">
        <f>253-(253*16%)</f>
        <v>212.52</v>
      </c>
      <c r="D17" s="9"/>
      <c r="E17" s="13">
        <v>170.11</v>
      </c>
      <c r="F17" s="9"/>
      <c r="G17" s="22">
        <f> 230-( 230*16%)</f>
        <v>193.2</v>
      </c>
      <c r="H17" s="24"/>
      <c r="I17" s="25">
        <f>582.85-(582.85*16%)</f>
        <v>489.594</v>
      </c>
      <c r="J17" s="24"/>
      <c r="K17" s="13">
        <v>0.0</v>
      </c>
      <c r="L17" s="9"/>
      <c r="M17" s="13">
        <v>0.0</v>
      </c>
      <c r="N17" s="9"/>
      <c r="O17" s="13">
        <v>0.0</v>
      </c>
    </row>
    <row r="18">
      <c r="A18" s="11">
        <f>253-(253*16%)</f>
        <v>212.52</v>
      </c>
      <c r="B18" s="9"/>
      <c r="C18" s="11">
        <f>481.9-(481.9*16%)</f>
        <v>404.796</v>
      </c>
      <c r="D18" s="9"/>
      <c r="E18" s="13">
        <v>454.73</v>
      </c>
      <c r="F18" s="9"/>
      <c r="G18" s="13">
        <f>227.7-(227.7*16%)</f>
        <v>191.268</v>
      </c>
      <c r="H18" s="9"/>
      <c r="I18" s="13">
        <v>189.74</v>
      </c>
      <c r="J18" s="9"/>
      <c r="K18" s="13">
        <v>0.0</v>
      </c>
      <c r="L18" s="9"/>
      <c r="M18" s="13">
        <v>0.0</v>
      </c>
      <c r="N18" s="9"/>
      <c r="O18" s="13">
        <v>0.0</v>
      </c>
    </row>
    <row r="19">
      <c r="A19" s="11">
        <f> 460-( 460*16%)</f>
        <v>386.4</v>
      </c>
      <c r="B19" s="12"/>
      <c r="C19" s="11">
        <f> 281.33-( 281.33*16%)</f>
        <v>236.3172</v>
      </c>
      <c r="D19" s="9"/>
      <c r="E19" s="13">
        <v>189.74</v>
      </c>
      <c r="F19" s="9"/>
      <c r="G19" s="13">
        <f> 491.94-( 491.94*16%)</f>
        <v>413.2296</v>
      </c>
      <c r="H19" s="9"/>
      <c r="I19" s="13">
        <f>(1215)/3*2</f>
        <v>810</v>
      </c>
      <c r="J19" s="9"/>
      <c r="K19" s="13">
        <v>0.0</v>
      </c>
      <c r="L19" s="9"/>
      <c r="M19" s="13">
        <v>0.0</v>
      </c>
      <c r="N19" s="9"/>
      <c r="O19" s="13">
        <v>0.0</v>
      </c>
    </row>
    <row r="20">
      <c r="A20" s="11">
        <v>0.0</v>
      </c>
      <c r="B20" s="12"/>
      <c r="C20" s="11">
        <f>253-(253*16%)</f>
        <v>212.52</v>
      </c>
      <c r="D20" s="10"/>
      <c r="E20" s="13">
        <v>227.36</v>
      </c>
      <c r="F20" s="9"/>
      <c r="G20" s="13">
        <f>241.5-(241.5*16%)</f>
        <v>202.86</v>
      </c>
      <c r="H20" s="9"/>
      <c r="I20" s="13">
        <v>0.0</v>
      </c>
      <c r="J20" s="9"/>
      <c r="K20" s="13">
        <v>0.0</v>
      </c>
      <c r="L20" s="9"/>
      <c r="M20" s="13">
        <v>0.0</v>
      </c>
      <c r="N20" s="9"/>
      <c r="O20" s="13">
        <v>0.0</v>
      </c>
    </row>
    <row r="21">
      <c r="A21" s="11">
        <v>0.0</v>
      </c>
      <c r="B21" s="12"/>
      <c r="C21" s="11">
        <f>227.23-(227.23*16%)</f>
        <v>190.8732</v>
      </c>
      <c r="D21" s="9"/>
      <c r="E21" s="25">
        <f>582.85-(582.85*16%)</f>
        <v>489.594</v>
      </c>
      <c r="F21" s="24"/>
      <c r="G21" s="13">
        <v>208.55</v>
      </c>
      <c r="H21" s="9"/>
      <c r="I21" s="13">
        <v>0.0</v>
      </c>
      <c r="J21" s="9"/>
      <c r="K21" s="13">
        <v>0.0</v>
      </c>
      <c r="L21" s="9"/>
      <c r="M21" s="13">
        <v>0.0</v>
      </c>
      <c r="N21" s="9"/>
      <c r="O21" s="13">
        <v>0.0</v>
      </c>
    </row>
    <row r="22">
      <c r="A22" s="11">
        <v>0.0</v>
      </c>
      <c r="B22" s="9"/>
      <c r="C22" s="11">
        <f>(1077.38)/3*2</f>
        <v>718.2533333</v>
      </c>
      <c r="D22" s="9"/>
      <c r="E22" s="13">
        <f> 234.25-( 234.25*16%)</f>
        <v>196.77</v>
      </c>
      <c r="F22" s="9"/>
      <c r="G22" s="13">
        <v>179.93</v>
      </c>
      <c r="H22" s="9"/>
      <c r="I22" s="13">
        <v>0.0</v>
      </c>
      <c r="J22" s="9"/>
      <c r="K22" s="13">
        <v>0.0</v>
      </c>
      <c r="L22" s="9"/>
      <c r="M22" s="13">
        <v>0.0</v>
      </c>
      <c r="N22" s="9"/>
      <c r="O22" s="13">
        <v>0.0</v>
      </c>
    </row>
    <row r="23">
      <c r="A23" s="11">
        <v>0.0</v>
      </c>
      <c r="B23" s="9"/>
      <c r="C23" s="11">
        <v>0.0</v>
      </c>
      <c r="D23" s="9"/>
      <c r="E23" s="13">
        <v>341.06</v>
      </c>
      <c r="F23" s="9"/>
      <c r="G23" s="13">
        <f>568.91-(568.91*16%)</f>
        <v>477.8844</v>
      </c>
      <c r="H23" s="9"/>
      <c r="I23" s="13">
        <v>0.0</v>
      </c>
      <c r="J23" s="9"/>
      <c r="K23" s="13">
        <v>0.0</v>
      </c>
      <c r="L23" s="9"/>
      <c r="M23" s="13">
        <v>0.0</v>
      </c>
      <c r="N23" s="9"/>
      <c r="O23" s="13">
        <v>0.0</v>
      </c>
    </row>
    <row r="24">
      <c r="A24" s="11">
        <v>0.0</v>
      </c>
      <c r="B24" s="9"/>
      <c r="C24" s="11">
        <v>0.0</v>
      </c>
      <c r="D24" s="9"/>
      <c r="E24" s="13">
        <v>379.5</v>
      </c>
      <c r="F24" s="9"/>
      <c r="G24" s="13">
        <f>(1421.86)/4*3</f>
        <v>1066.395</v>
      </c>
      <c r="H24" s="9"/>
      <c r="I24" s="13">
        <v>0.0</v>
      </c>
      <c r="J24" s="9"/>
      <c r="K24" s="13">
        <v>0.0</v>
      </c>
      <c r="L24" s="9"/>
      <c r="M24" s="13">
        <v>0.0</v>
      </c>
      <c r="N24" s="9"/>
      <c r="O24" s="13">
        <v>0.0</v>
      </c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L25" s="9"/>
      <c r="M25" s="13">
        <v>0.0</v>
      </c>
      <c r="N25" s="9"/>
      <c r="O25" s="13">
        <v>0.0</v>
      </c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L26" s="9"/>
      <c r="M26" s="13">
        <v>0.0</v>
      </c>
      <c r="N26" s="9"/>
      <c r="O26" s="13">
        <v>0.0</v>
      </c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L27" s="9"/>
      <c r="M27" s="13">
        <v>0.0</v>
      </c>
      <c r="N27" s="9"/>
      <c r="O27" s="13">
        <v>0.0</v>
      </c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L28" s="9"/>
      <c r="M28" s="13">
        <v>0.0</v>
      </c>
      <c r="N28" s="9"/>
      <c r="O28" s="13">
        <v>0.0</v>
      </c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L29" s="9"/>
      <c r="M29" s="13">
        <v>0.0</v>
      </c>
      <c r="N29" s="9"/>
      <c r="O29" s="13">
        <v>0.0</v>
      </c>
    </row>
    <row r="30">
      <c r="A30" s="14">
        <f>SUM(A3:A29)</f>
        <v>5119.7368</v>
      </c>
      <c r="B30" s="9"/>
      <c r="C30" s="14">
        <f>SUM(C3:C29)</f>
        <v>5261.678933</v>
      </c>
      <c r="D30" s="15"/>
      <c r="E30" s="14">
        <f>SUM(E3:E29)</f>
        <v>5639.6924</v>
      </c>
      <c r="F30" s="14"/>
      <c r="G30" s="14">
        <f>SUM(G3:G29)</f>
        <v>5693.595</v>
      </c>
      <c r="H30" s="9"/>
      <c r="I30" s="14">
        <f>SUM(I3:I29)</f>
        <v>5913.226</v>
      </c>
      <c r="J30" s="9"/>
      <c r="K30" s="14">
        <f>SUM(K3:K29)</f>
        <v>0</v>
      </c>
      <c r="L30" s="9"/>
      <c r="M30" s="14">
        <f>SUM(M3:M29)</f>
        <v>0</v>
      </c>
      <c r="N30" s="9"/>
      <c r="O30" s="14">
        <f>SUM(O3:O29)</f>
        <v>0</v>
      </c>
    </row>
    <row r="31">
      <c r="A31" s="8" t="s">
        <v>5</v>
      </c>
      <c r="B31" s="16">
        <f>A30+C30+E30+G30+I30+K30</f>
        <v>27627.92913</v>
      </c>
    </row>
    <row r="32">
      <c r="A32" s="26">
        <f>(A30-7263.37)</f>
        <v>-2143.6332</v>
      </c>
      <c r="B32" s="26"/>
      <c r="C32" s="26">
        <f>(C30-7186.33)</f>
        <v>-1924.651067</v>
      </c>
      <c r="D32" s="27"/>
      <c r="E32" s="26">
        <f>(E30-6886.3)</f>
        <v>-1246.6076</v>
      </c>
      <c r="F32" s="26"/>
      <c r="G32" s="26">
        <f>(G30-7221.33)</f>
        <v>-1527.735</v>
      </c>
      <c r="H32" s="26"/>
      <c r="I32" s="26">
        <f>(I30- 7066.33)</f>
        <v>-1153.104</v>
      </c>
      <c r="J32" s="26"/>
      <c r="K32" s="26">
        <f>(K30-0)</f>
        <v>0</v>
      </c>
      <c r="L32" s="26"/>
      <c r="M32" s="26">
        <f>(M30-0)</f>
        <v>0</v>
      </c>
    </row>
    <row r="34">
      <c r="C34" s="28" t="s">
        <v>3</v>
      </c>
      <c r="D34" s="29">
        <f>B31</f>
        <v>27627.92913</v>
      </c>
      <c r="E34" s="20"/>
    </row>
    <row r="35">
      <c r="C35" s="28" t="s">
        <v>4</v>
      </c>
      <c r="D35" s="29">
        <f>A32+C32+E32+G32+I32+K32</f>
        <v>-7995.730867</v>
      </c>
      <c r="E35" s="20"/>
    </row>
  </sheetData>
  <mergeCells count="2">
    <mergeCell ref="A1:K1"/>
    <mergeCell ref="B31:O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3.0</v>
      </c>
      <c r="B2" s="5"/>
      <c r="C2" s="6">
        <v>18.0</v>
      </c>
      <c r="D2" s="7"/>
      <c r="E2" s="6">
        <v>19.0</v>
      </c>
      <c r="F2" s="7"/>
      <c r="G2" s="6">
        <v>809.0</v>
      </c>
      <c r="H2" s="15"/>
      <c r="I2" s="6">
        <v>908.0</v>
      </c>
      <c r="J2" s="15"/>
      <c r="K2" s="6">
        <v>1115.0</v>
      </c>
      <c r="M2" s="10"/>
      <c r="O2" s="10"/>
    </row>
    <row r="3">
      <c r="A3" s="22">
        <f>(493.18)/2*1</f>
        <v>246.59</v>
      </c>
      <c r="B3" s="23"/>
      <c r="C3" s="22">
        <f>223.67-(223.67*13%)</f>
        <v>194.5929</v>
      </c>
      <c r="D3" s="10"/>
      <c r="E3" s="22">
        <f>223.67-(223.67*13%)</f>
        <v>194.5929</v>
      </c>
      <c r="F3" s="10"/>
      <c r="G3" s="25">
        <f>214.66-(214.66*13%)</f>
        <v>186.7542</v>
      </c>
      <c r="H3" s="9"/>
      <c r="I3" s="13">
        <v>435.92</v>
      </c>
      <c r="J3" s="10"/>
      <c r="K3" s="13">
        <f>(560.16)/2*1</f>
        <v>280.08</v>
      </c>
      <c r="M3" s="20"/>
      <c r="O3" s="20"/>
    </row>
    <row r="4">
      <c r="A4" s="22">
        <f>293.25-(293.25*13%)</f>
        <v>255.1275</v>
      </c>
      <c r="B4" s="23"/>
      <c r="C4" s="22">
        <v>138.04</v>
      </c>
      <c r="D4" s="9"/>
      <c r="E4" s="25">
        <f>214.66-(214.66*13%)</f>
        <v>186.7542</v>
      </c>
      <c r="F4" s="10"/>
      <c r="G4" s="13">
        <f> 149.5-( 149.5*13%)</f>
        <v>130.065</v>
      </c>
      <c r="H4" s="9"/>
      <c r="I4" s="13">
        <f> 195.5-( 195.5*13%)</f>
        <v>170.085</v>
      </c>
      <c r="J4" s="10"/>
      <c r="K4" s="13">
        <v>138.04</v>
      </c>
      <c r="M4" s="20"/>
      <c r="O4" s="20"/>
    </row>
    <row r="5">
      <c r="A5" s="22">
        <f>287.5-(287.5*13%)</f>
        <v>250.125</v>
      </c>
      <c r="B5" s="22"/>
      <c r="C5" s="22">
        <v>146.77</v>
      </c>
      <c r="D5" s="9"/>
      <c r="E5" s="25">
        <f>167.58-(167.58*13%)</f>
        <v>145.7946</v>
      </c>
      <c r="F5" s="10"/>
      <c r="G5" s="13">
        <f> 195.5-( 195.5*13%)</f>
        <v>170.085</v>
      </c>
      <c r="H5" s="9"/>
      <c r="I5" s="25">
        <v>160.08</v>
      </c>
      <c r="J5" s="10"/>
      <c r="K5" s="25">
        <f>214.66-(214.66*13%)</f>
        <v>186.7542</v>
      </c>
      <c r="M5" s="20"/>
      <c r="O5" s="20"/>
    </row>
    <row r="6">
      <c r="A6" s="22">
        <f>644-(644*13%)</f>
        <v>560.28</v>
      </c>
      <c r="B6" s="22"/>
      <c r="C6" s="22">
        <v>119.0</v>
      </c>
      <c r="D6" s="9"/>
      <c r="E6" s="13">
        <f> 159.52-( 159.52*13%)</f>
        <v>138.7824</v>
      </c>
      <c r="F6" s="9"/>
      <c r="G6" s="13">
        <v>312.42</v>
      </c>
      <c r="H6" s="9"/>
      <c r="I6" s="13">
        <f> 437-( 437*13%)</f>
        <v>380.19</v>
      </c>
      <c r="J6" s="9"/>
      <c r="K6" s="13">
        <v>128.53</v>
      </c>
      <c r="M6" s="20"/>
      <c r="O6" s="20"/>
    </row>
    <row r="7">
      <c r="A7" s="22">
        <v>122.68</v>
      </c>
      <c r="B7" s="22"/>
      <c r="C7" s="22">
        <f>130.95-(130.95*13%)</f>
        <v>113.9265</v>
      </c>
      <c r="D7" s="9"/>
      <c r="E7" s="13">
        <f> 195.5-( 195.5*13%)</f>
        <v>170.085</v>
      </c>
      <c r="F7" s="9"/>
      <c r="G7" s="13">
        <v>151.3</v>
      </c>
      <c r="H7" s="9"/>
      <c r="I7" s="13">
        <v>624.84</v>
      </c>
      <c r="J7" s="9"/>
      <c r="K7" s="13">
        <v>146.77</v>
      </c>
      <c r="M7" s="20"/>
      <c r="O7" s="20"/>
    </row>
    <row r="8">
      <c r="A8" s="22">
        <f> 178.48-(178.48*13%)</f>
        <v>155.2776</v>
      </c>
      <c r="B8" s="30"/>
      <c r="C8" s="22">
        <f> 873-( 873*13%)</f>
        <v>759.51</v>
      </c>
      <c r="D8" s="9"/>
      <c r="E8" s="25">
        <f>  178.48-(  178.48*16%)</f>
        <v>149.9232</v>
      </c>
      <c r="F8" s="10"/>
      <c r="G8" s="13">
        <v>151.3</v>
      </c>
      <c r="H8" s="9"/>
      <c r="I8" s="13">
        <f>339.5-(339.5*13%)</f>
        <v>295.365</v>
      </c>
      <c r="J8" s="9"/>
      <c r="K8" s="13">
        <v>316.33</v>
      </c>
      <c r="M8" s="20"/>
      <c r="O8" s="20"/>
    </row>
    <row r="9">
      <c r="A9" s="22">
        <f>  508.68-( 508.68*13%)</f>
        <v>442.5516</v>
      </c>
      <c r="B9" s="23"/>
      <c r="C9" s="22">
        <v>179.93</v>
      </c>
      <c r="D9" s="9"/>
      <c r="E9" s="13">
        <f>  193.2-(  193.2*13%)</f>
        <v>168.084</v>
      </c>
      <c r="F9" s="9"/>
      <c r="G9" s="13">
        <v>398.31</v>
      </c>
      <c r="H9" s="9"/>
      <c r="I9" s="13">
        <v>0.0</v>
      </c>
      <c r="J9" s="9"/>
      <c r="K9" s="13">
        <f>174.6-(174.6*13%)</f>
        <v>151.902</v>
      </c>
      <c r="M9" s="20"/>
      <c r="O9" s="20"/>
    </row>
    <row r="10">
      <c r="A10" s="31">
        <v>435.92</v>
      </c>
      <c r="B10" s="23"/>
      <c r="C10" s="22">
        <f> 139.68-( 139.68*13%)</f>
        <v>121.5216</v>
      </c>
      <c r="D10" s="9"/>
      <c r="E10" s="13">
        <f>  155.2-(  155.2*13%)</f>
        <v>135.024</v>
      </c>
      <c r="F10" s="9"/>
      <c r="G10" s="13">
        <v>227.36</v>
      </c>
      <c r="H10" s="9"/>
      <c r="I10" s="13">
        <v>0.0</v>
      </c>
      <c r="J10" s="9"/>
      <c r="K10" s="13">
        <v>189.74</v>
      </c>
      <c r="M10" s="20"/>
      <c r="O10" s="20"/>
    </row>
    <row r="11">
      <c r="A11" s="32">
        <v>146.77</v>
      </c>
      <c r="B11" s="33"/>
      <c r="C11" s="11">
        <f> 312.57-( 312.57*13%)</f>
        <v>271.9359</v>
      </c>
      <c r="D11" s="9"/>
      <c r="E11" s="13">
        <f>  543.2-(  543.2*13%)</f>
        <v>472.584</v>
      </c>
      <c r="F11" s="9"/>
      <c r="G11" s="13">
        <f>470.92-(470.92*13%)</f>
        <v>409.7004</v>
      </c>
      <c r="H11" s="9"/>
      <c r="I11" s="13">
        <v>0.0</v>
      </c>
      <c r="J11" s="9"/>
      <c r="K11" s="13">
        <v>312.42</v>
      </c>
      <c r="M11" s="20"/>
      <c r="O11" s="20"/>
    </row>
    <row r="12">
      <c r="A12" s="34">
        <f>368.11-(368.11*13%)</f>
        <v>320.2557</v>
      </c>
      <c r="B12" s="12"/>
      <c r="C12" s="11">
        <v>184.04</v>
      </c>
      <c r="D12" s="9"/>
      <c r="E12" s="13">
        <v>156.28</v>
      </c>
      <c r="F12" s="9"/>
      <c r="G12" s="25">
        <v>155.27</v>
      </c>
      <c r="H12" s="9"/>
      <c r="I12" s="13">
        <v>0.0</v>
      </c>
      <c r="J12" s="9"/>
      <c r="K12" s="13">
        <v>530.8</v>
      </c>
      <c r="M12" s="20"/>
      <c r="O12" s="20"/>
    </row>
    <row r="13">
      <c r="A13" s="34">
        <f>215.47-(215.47*13%)</f>
        <v>187.4589</v>
      </c>
      <c r="B13" s="9"/>
      <c r="C13" s="11">
        <v>304.25</v>
      </c>
      <c r="D13" s="9"/>
      <c r="E13" s="13">
        <f>541.26-(541.26*13%)</f>
        <v>470.8962</v>
      </c>
      <c r="F13" s="9"/>
      <c r="G13" s="13">
        <f>207-(207*13%)</f>
        <v>180.09</v>
      </c>
      <c r="H13" s="9"/>
      <c r="I13" s="13">
        <v>0.0</v>
      </c>
      <c r="J13" s="9"/>
      <c r="K13" s="13">
        <f> 437-( 437*13%)</f>
        <v>380.19</v>
      </c>
      <c r="M13" s="20"/>
      <c r="O13" s="20"/>
    </row>
    <row r="14">
      <c r="A14" s="34">
        <f>404.59-(404.59*13%)</f>
        <v>351.9933</v>
      </c>
      <c r="B14" s="12"/>
      <c r="C14" s="11">
        <f>628.56-(628.56*13%)</f>
        <v>546.8472</v>
      </c>
      <c r="D14" s="9"/>
      <c r="E14" s="13">
        <f t="shared" ref="E14:E15" si="1"> 378.3-( 378.3*13%)</f>
        <v>329.121</v>
      </c>
      <c r="F14" s="9"/>
      <c r="G14" s="13">
        <f> 230-( 230*13%)</f>
        <v>200.1</v>
      </c>
      <c r="H14" s="9"/>
      <c r="I14" s="13">
        <v>0.0</v>
      </c>
      <c r="J14" s="9"/>
      <c r="K14" s="13">
        <v>146.77</v>
      </c>
      <c r="M14" s="20"/>
      <c r="O14" s="20"/>
    </row>
    <row r="15">
      <c r="A15" s="34">
        <f>(808.45)/3*2</f>
        <v>538.9666667</v>
      </c>
      <c r="B15" s="12"/>
      <c r="C15" s="11">
        <f> 183.33-( 183.33*13%)</f>
        <v>159.4971</v>
      </c>
      <c r="D15" s="9"/>
      <c r="E15" s="13">
        <f t="shared" si="1"/>
        <v>329.121</v>
      </c>
      <c r="F15" s="9"/>
      <c r="G15" s="13">
        <f> 1008.8-( 1008.8*13%)</f>
        <v>877.656</v>
      </c>
      <c r="H15" s="9"/>
      <c r="I15" s="13">
        <v>0.0</v>
      </c>
      <c r="J15" s="9"/>
      <c r="K15" s="13">
        <v>165.01</v>
      </c>
      <c r="M15" s="20"/>
      <c r="O15" s="20"/>
    </row>
    <row r="16">
      <c r="A16" s="11">
        <v>0.0</v>
      </c>
      <c r="B16" s="12"/>
      <c r="C16" s="11">
        <v>257.05</v>
      </c>
      <c r="D16" s="9"/>
      <c r="E16" s="13">
        <f> 241.5-( 241.5*13%)</f>
        <v>210.105</v>
      </c>
      <c r="F16" s="9"/>
      <c r="G16" s="13">
        <v>189.74</v>
      </c>
      <c r="H16" s="9"/>
      <c r="I16" s="13">
        <v>0.0</v>
      </c>
      <c r="J16" s="9"/>
      <c r="K16" s="13">
        <f> 407.4-( 407.4*13%)</f>
        <v>354.438</v>
      </c>
      <c r="M16" s="20"/>
      <c r="O16" s="20"/>
    </row>
    <row r="17">
      <c r="A17" s="11">
        <v>0.0</v>
      </c>
      <c r="B17" s="12"/>
      <c r="C17" s="11">
        <f>(869.21)/3*1</f>
        <v>289.7366667</v>
      </c>
      <c r="D17" s="9"/>
      <c r="E17" s="13">
        <f>(794.44)/3*1</f>
        <v>264.8133333</v>
      </c>
      <c r="F17" s="9"/>
      <c r="G17" s="13">
        <f>358.9-(358.9*13%)</f>
        <v>312.243</v>
      </c>
      <c r="H17" s="9"/>
      <c r="I17" s="13">
        <v>0.0</v>
      </c>
      <c r="J17" s="9"/>
      <c r="K17" s="13">
        <f> 253.58-( 253.58*13%)</f>
        <v>220.6146</v>
      </c>
      <c r="M17" s="25"/>
      <c r="O17" s="20"/>
    </row>
    <row r="18">
      <c r="A18" s="11">
        <v>0.0</v>
      </c>
      <c r="B18" s="9"/>
      <c r="C18" s="11">
        <v>0.0</v>
      </c>
      <c r="D18" s="9"/>
      <c r="E18" s="13">
        <v>0.0</v>
      </c>
      <c r="F18" s="9"/>
      <c r="G18" s="13">
        <v>0.0</v>
      </c>
      <c r="H18" s="9"/>
      <c r="I18" s="13">
        <v>0.0</v>
      </c>
      <c r="J18" s="9"/>
      <c r="K18" s="13">
        <v>192.79</v>
      </c>
      <c r="M18" s="13"/>
      <c r="O18" s="20"/>
    </row>
    <row r="19">
      <c r="A19" s="11">
        <v>0.0</v>
      </c>
      <c r="B19" s="12"/>
      <c r="C19" s="11">
        <v>0.0</v>
      </c>
      <c r="D19" s="9"/>
      <c r="E19" s="13">
        <v>0.0</v>
      </c>
      <c r="F19" s="9"/>
      <c r="G19" s="13">
        <v>0.0</v>
      </c>
      <c r="H19" s="9"/>
      <c r="I19" s="13">
        <v>0.0</v>
      </c>
      <c r="J19" s="9"/>
      <c r="K19" s="13">
        <v>369.67</v>
      </c>
      <c r="M19" s="13"/>
      <c r="N19" s="35"/>
      <c r="O19" s="20"/>
    </row>
    <row r="20">
      <c r="A20" s="11">
        <v>0.0</v>
      </c>
      <c r="B20" s="12"/>
      <c r="C20" s="11">
        <v>0.0</v>
      </c>
      <c r="D20" s="9"/>
      <c r="E20" s="13">
        <v>0.0</v>
      </c>
      <c r="F20" s="9"/>
      <c r="G20" s="13">
        <v>0.0</v>
      </c>
      <c r="H20" s="9"/>
      <c r="I20" s="13">
        <v>0.0</v>
      </c>
      <c r="J20" s="9"/>
      <c r="K20" s="13">
        <f>337.56-(337.56*13%)</f>
        <v>293.6772</v>
      </c>
      <c r="M20" s="13"/>
      <c r="N20" s="35"/>
      <c r="O20" s="20"/>
    </row>
    <row r="21">
      <c r="A21" s="11">
        <v>0.0</v>
      </c>
      <c r="B21" s="12"/>
      <c r="C21" s="11">
        <v>0.0</v>
      </c>
      <c r="D21" s="9"/>
      <c r="E21" s="13">
        <v>0.0</v>
      </c>
      <c r="F21" s="9"/>
      <c r="G21" s="13">
        <v>0.0</v>
      </c>
      <c r="H21" s="9"/>
      <c r="I21" s="13">
        <v>0.0</v>
      </c>
      <c r="J21" s="9"/>
      <c r="K21" s="13">
        <v>350.86</v>
      </c>
      <c r="M21" s="13"/>
      <c r="N21" s="35"/>
      <c r="O21" s="20"/>
    </row>
    <row r="22">
      <c r="A22" s="11">
        <v>0.0</v>
      </c>
      <c r="B22" s="9"/>
      <c r="C22" s="11">
        <v>0.0</v>
      </c>
      <c r="D22" s="9"/>
      <c r="E22" s="13">
        <v>0.0</v>
      </c>
      <c r="F22" s="9"/>
      <c r="G22" s="13">
        <v>0.0</v>
      </c>
      <c r="H22" s="9"/>
      <c r="I22" s="13">
        <v>0.0</v>
      </c>
      <c r="J22" s="9"/>
      <c r="K22" s="13">
        <v>0.0</v>
      </c>
      <c r="M22" s="13"/>
      <c r="N22" s="35"/>
      <c r="O22" s="20"/>
    </row>
    <row r="23">
      <c r="A23" s="11">
        <v>0.0</v>
      </c>
      <c r="B23" s="9"/>
      <c r="C23" s="11">
        <v>0.0</v>
      </c>
      <c r="D23" s="9"/>
      <c r="E23" s="13">
        <v>0.0</v>
      </c>
      <c r="F23" s="9"/>
      <c r="G23" s="13">
        <v>0.0</v>
      </c>
      <c r="H23" s="9"/>
      <c r="I23" s="13">
        <v>0.0</v>
      </c>
      <c r="J23" s="9"/>
      <c r="K23" s="13">
        <v>0.0</v>
      </c>
      <c r="M23" s="13"/>
      <c r="N23" s="35"/>
      <c r="O23" s="20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>
        <v>0.0</v>
      </c>
      <c r="H24" s="9"/>
      <c r="I24" s="13">
        <v>0.0</v>
      </c>
      <c r="J24" s="9"/>
      <c r="K24" s="13">
        <v>0.0</v>
      </c>
      <c r="M24" s="13"/>
      <c r="N24" s="35"/>
      <c r="O24" s="20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M25" s="13"/>
      <c r="N25" s="35"/>
      <c r="O25" s="20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M26" s="25"/>
      <c r="N26" s="35"/>
      <c r="O26" s="20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M27" s="13"/>
      <c r="N27" s="34"/>
      <c r="O27" s="20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M28" s="13"/>
      <c r="N28" s="34"/>
      <c r="O28" s="20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M29" s="13"/>
      <c r="N29" s="34"/>
      <c r="O29" s="20"/>
    </row>
    <row r="30">
      <c r="A30" s="14">
        <f>SUM(A3:A29)</f>
        <v>4013.996267</v>
      </c>
      <c r="B30" s="9"/>
      <c r="C30" s="14">
        <f>SUM(C3:C29)</f>
        <v>3786.647867</v>
      </c>
      <c r="D30" s="15"/>
      <c r="E30" s="14">
        <f>SUM(E3:E29)</f>
        <v>3521.960833</v>
      </c>
      <c r="F30" s="14"/>
      <c r="G30" s="14">
        <f>SUM(G3:G29)</f>
        <v>4052.3936</v>
      </c>
      <c r="H30" s="9"/>
      <c r="I30" s="14">
        <f>SUM(I3:I29)</f>
        <v>2066.48</v>
      </c>
      <c r="J30" s="9"/>
      <c r="K30" s="14">
        <f>SUM(K3:K29)</f>
        <v>4855.386</v>
      </c>
      <c r="M30" s="13"/>
      <c r="N30" s="34"/>
      <c r="O30" s="19"/>
    </row>
    <row r="31">
      <c r="A31" s="8" t="s">
        <v>5</v>
      </c>
      <c r="B31" s="16">
        <f>A30+C30+E30+G30+I30+K30</f>
        <v>22296.86457</v>
      </c>
      <c r="M31" s="13"/>
      <c r="N31" s="34"/>
    </row>
    <row r="32">
      <c r="A32" s="26">
        <f>(A30-4386.33)</f>
        <v>-372.3337333</v>
      </c>
      <c r="B32" s="26"/>
      <c r="C32" s="26">
        <f>(C30-4196.99)</f>
        <v>-410.3421333</v>
      </c>
      <c r="D32" s="26"/>
      <c r="E32" s="26">
        <f>(E30-4822.27)</f>
        <v>-1300.309167</v>
      </c>
      <c r="F32" s="26"/>
      <c r="G32" s="26">
        <f>(G30-5166.4)</f>
        <v>-1114.0064</v>
      </c>
      <c r="H32" s="26"/>
      <c r="I32" s="26">
        <f>(I30-4586.33)</f>
        <v>-2519.85</v>
      </c>
      <c r="J32" s="26"/>
      <c r="K32" s="26">
        <f>(K30-5786.33)</f>
        <v>-930.944</v>
      </c>
      <c r="N32" s="34"/>
    </row>
    <row r="33">
      <c r="N33" s="34"/>
    </row>
    <row r="35">
      <c r="D35" s="28" t="s">
        <v>3</v>
      </c>
      <c r="E35" s="29">
        <f>B31</f>
        <v>22296.86457</v>
      </c>
      <c r="F35" s="20"/>
    </row>
    <row r="36">
      <c r="D36" s="28" t="s">
        <v>4</v>
      </c>
      <c r="E36" s="29">
        <f>A32+C32+E32+G32+I32+K32</f>
        <v>-6647.785433</v>
      </c>
      <c r="F36" s="20"/>
    </row>
  </sheetData>
  <mergeCells count="2">
    <mergeCell ref="A1:K1"/>
    <mergeCell ref="B31:K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19.0</v>
      </c>
      <c r="B2" s="5"/>
      <c r="C2" s="8" t="s">
        <v>1</v>
      </c>
      <c r="D2" s="7"/>
      <c r="E2" s="8" t="s">
        <v>1</v>
      </c>
      <c r="F2" s="7"/>
      <c r="G2" s="8" t="s">
        <v>1</v>
      </c>
      <c r="H2" s="15"/>
      <c r="I2" s="21" t="s">
        <v>1</v>
      </c>
      <c r="J2" s="15"/>
      <c r="K2" s="21" t="s">
        <v>1</v>
      </c>
      <c r="M2" s="10"/>
      <c r="O2" s="10"/>
    </row>
    <row r="3">
      <c r="A3" s="11">
        <f>(4500)/31*15</f>
        <v>2177.419355</v>
      </c>
      <c r="B3" s="12"/>
      <c r="C3" s="11">
        <v>0.0</v>
      </c>
      <c r="D3" s="9"/>
      <c r="E3" s="13">
        <v>0.0</v>
      </c>
      <c r="F3" s="9"/>
      <c r="G3" s="13">
        <v>0.0</v>
      </c>
      <c r="H3" s="9"/>
      <c r="I3" s="13">
        <v>0.0</v>
      </c>
      <c r="J3" s="9"/>
      <c r="K3" s="13">
        <v>0.0</v>
      </c>
      <c r="M3" s="20"/>
      <c r="O3" s="20"/>
    </row>
    <row r="4">
      <c r="A4" s="11">
        <f>(4500)/31*17</f>
        <v>2467.741935</v>
      </c>
      <c r="B4" s="12"/>
      <c r="C4" s="11">
        <v>0.0</v>
      </c>
      <c r="D4" s="9"/>
      <c r="E4" s="13">
        <v>0.0</v>
      </c>
      <c r="F4" s="9"/>
      <c r="G4" s="13">
        <v>0.0</v>
      </c>
      <c r="H4" s="9"/>
      <c r="I4" s="13">
        <v>0.0</v>
      </c>
      <c r="J4" s="9"/>
      <c r="K4" s="13">
        <v>0.0</v>
      </c>
      <c r="M4" s="20"/>
      <c r="O4" s="20"/>
    </row>
    <row r="5">
      <c r="A5" s="11">
        <v>0.0</v>
      </c>
      <c r="B5" s="12"/>
      <c r="C5" s="11">
        <v>0.0</v>
      </c>
      <c r="D5" s="9"/>
      <c r="E5" s="13">
        <v>0.0</v>
      </c>
      <c r="F5" s="9"/>
      <c r="G5" s="13">
        <v>0.0</v>
      </c>
      <c r="H5" s="9"/>
      <c r="I5" s="13">
        <v>0.0</v>
      </c>
      <c r="J5" s="9"/>
      <c r="K5" s="13">
        <v>0.0</v>
      </c>
      <c r="M5" s="20"/>
      <c r="O5" s="20"/>
    </row>
    <row r="6">
      <c r="A6" s="11">
        <v>0.0</v>
      </c>
      <c r="B6" s="11"/>
      <c r="C6" s="11">
        <v>0.0</v>
      </c>
      <c r="D6" s="9"/>
      <c r="E6" s="13">
        <v>0.0</v>
      </c>
      <c r="F6" s="9"/>
      <c r="G6" s="13">
        <v>0.0</v>
      </c>
      <c r="H6" s="9"/>
      <c r="I6" s="13">
        <v>0.0</v>
      </c>
      <c r="J6" s="9"/>
      <c r="K6" s="13">
        <v>0.0</v>
      </c>
      <c r="M6" s="20"/>
      <c r="O6" s="20"/>
    </row>
    <row r="7">
      <c r="A7" s="11">
        <v>0.0</v>
      </c>
      <c r="B7" s="11"/>
      <c r="C7" s="11">
        <v>0.0</v>
      </c>
      <c r="D7" s="9"/>
      <c r="E7" s="13">
        <v>0.0</v>
      </c>
      <c r="F7" s="9"/>
      <c r="G7" s="13">
        <v>0.0</v>
      </c>
      <c r="H7" s="9"/>
      <c r="I7" s="13">
        <v>0.0</v>
      </c>
      <c r="J7" s="9"/>
      <c r="K7" s="13">
        <v>0.0</v>
      </c>
      <c r="M7" s="20"/>
      <c r="O7" s="20"/>
    </row>
    <row r="8">
      <c r="A8" s="11">
        <v>0.0</v>
      </c>
      <c r="B8" s="9"/>
      <c r="C8" s="11">
        <v>0.0</v>
      </c>
      <c r="D8" s="9"/>
      <c r="E8" s="13">
        <v>0.0</v>
      </c>
      <c r="F8" s="9"/>
      <c r="G8" s="13">
        <v>0.0</v>
      </c>
      <c r="H8" s="9"/>
      <c r="I8" s="13">
        <v>0.0</v>
      </c>
      <c r="J8" s="9"/>
      <c r="K8" s="13">
        <v>0.0</v>
      </c>
      <c r="M8" s="20"/>
      <c r="O8" s="20"/>
    </row>
    <row r="9">
      <c r="A9" s="11">
        <v>0.0</v>
      </c>
      <c r="B9" s="12"/>
      <c r="C9" s="11">
        <v>0.0</v>
      </c>
      <c r="D9" s="9"/>
      <c r="E9" s="13">
        <v>0.0</v>
      </c>
      <c r="F9" s="9"/>
      <c r="G9" s="13">
        <v>0.0</v>
      </c>
      <c r="H9" s="9"/>
      <c r="I9" s="13">
        <v>0.0</v>
      </c>
      <c r="J9" s="9"/>
      <c r="K9" s="13">
        <v>0.0</v>
      </c>
      <c r="M9" s="20"/>
      <c r="O9" s="20"/>
    </row>
    <row r="10">
      <c r="A10" s="11">
        <v>0.0</v>
      </c>
      <c r="B10" s="12"/>
      <c r="C10" s="11">
        <v>0.0</v>
      </c>
      <c r="D10" s="9"/>
      <c r="E10" s="13">
        <v>0.0</v>
      </c>
      <c r="F10" s="9"/>
      <c r="G10" s="13">
        <v>0.0</v>
      </c>
      <c r="H10" s="9"/>
      <c r="I10" s="13">
        <v>0.0</v>
      </c>
      <c r="J10" s="9"/>
      <c r="K10" s="13">
        <v>0.0</v>
      </c>
      <c r="M10" s="20"/>
      <c r="O10" s="20"/>
    </row>
    <row r="11">
      <c r="A11" s="11">
        <v>0.0</v>
      </c>
      <c r="B11" s="12"/>
      <c r="C11" s="11">
        <v>0.0</v>
      </c>
      <c r="D11" s="9"/>
      <c r="E11" s="13">
        <v>0.0</v>
      </c>
      <c r="F11" s="9"/>
      <c r="G11" s="13">
        <v>0.0</v>
      </c>
      <c r="H11" s="9"/>
      <c r="I11" s="13">
        <v>0.0</v>
      </c>
      <c r="J11" s="9"/>
      <c r="K11" s="13">
        <v>0.0</v>
      </c>
      <c r="M11" s="20"/>
      <c r="O11" s="20"/>
    </row>
    <row r="12">
      <c r="A12" s="11">
        <v>0.0</v>
      </c>
      <c r="B12" s="12"/>
      <c r="C12" s="11">
        <v>0.0</v>
      </c>
      <c r="D12" s="9"/>
      <c r="E12" s="13">
        <v>0.0</v>
      </c>
      <c r="F12" s="9"/>
      <c r="G12" s="13">
        <v>0.0</v>
      </c>
      <c r="H12" s="9"/>
      <c r="I12" s="13">
        <v>0.0</v>
      </c>
      <c r="J12" s="9"/>
      <c r="K12" s="13">
        <v>0.0</v>
      </c>
      <c r="M12" s="20"/>
      <c r="O12" s="20"/>
    </row>
    <row r="13">
      <c r="A13" s="11">
        <v>0.0</v>
      </c>
      <c r="B13" s="9"/>
      <c r="C13" s="11">
        <v>0.0</v>
      </c>
      <c r="D13" s="9"/>
      <c r="E13" s="13">
        <v>0.0</v>
      </c>
      <c r="F13" s="9"/>
      <c r="G13" s="13">
        <v>0.0</v>
      </c>
      <c r="H13" s="9"/>
      <c r="I13" s="13">
        <v>0.0</v>
      </c>
      <c r="J13" s="9"/>
      <c r="K13" s="13">
        <v>0.0</v>
      </c>
      <c r="M13" s="20"/>
      <c r="O13" s="20"/>
    </row>
    <row r="14">
      <c r="A14" s="11">
        <v>0.0</v>
      </c>
      <c r="B14" s="12"/>
      <c r="C14" s="11">
        <v>0.0</v>
      </c>
      <c r="D14" s="9"/>
      <c r="E14" s="13">
        <v>0.0</v>
      </c>
      <c r="F14" s="9"/>
      <c r="G14" s="13">
        <v>0.0</v>
      </c>
      <c r="H14" s="9"/>
      <c r="I14" s="13">
        <v>0.0</v>
      </c>
      <c r="J14" s="9"/>
      <c r="K14" s="13">
        <v>0.0</v>
      </c>
      <c r="M14" s="20"/>
      <c r="O14" s="20"/>
    </row>
    <row r="15">
      <c r="A15" s="11">
        <v>0.0</v>
      </c>
      <c r="B15" s="12"/>
      <c r="C15" s="11">
        <v>0.0</v>
      </c>
      <c r="D15" s="9"/>
      <c r="E15" s="13">
        <v>0.0</v>
      </c>
      <c r="F15" s="9"/>
      <c r="G15" s="13">
        <v>0.0</v>
      </c>
      <c r="H15" s="9"/>
      <c r="I15" s="13">
        <v>0.0</v>
      </c>
      <c r="J15" s="9"/>
      <c r="K15" s="13">
        <v>0.0</v>
      </c>
      <c r="M15" s="20"/>
      <c r="O15" s="20"/>
    </row>
    <row r="16">
      <c r="A16" s="11">
        <v>0.0</v>
      </c>
      <c r="B16" s="12"/>
      <c r="C16" s="11">
        <v>0.0</v>
      </c>
      <c r="D16" s="9"/>
      <c r="E16" s="13">
        <v>0.0</v>
      </c>
      <c r="F16" s="9"/>
      <c r="G16" s="13">
        <v>0.0</v>
      </c>
      <c r="H16" s="9"/>
      <c r="I16" s="13">
        <v>0.0</v>
      </c>
      <c r="J16" s="9"/>
      <c r="K16" s="13">
        <v>0.0</v>
      </c>
      <c r="M16" s="20"/>
      <c r="O16" s="20"/>
    </row>
    <row r="17">
      <c r="A17" s="11">
        <v>0.0</v>
      </c>
      <c r="B17" s="12"/>
      <c r="C17" s="11">
        <v>0.0</v>
      </c>
      <c r="D17" s="9"/>
      <c r="E17" s="13">
        <v>0.0</v>
      </c>
      <c r="F17" s="9"/>
      <c r="G17" s="13">
        <v>0.0</v>
      </c>
      <c r="H17" s="9"/>
      <c r="I17" s="13">
        <v>0.0</v>
      </c>
      <c r="J17" s="9"/>
      <c r="K17" s="13">
        <v>0.0</v>
      </c>
      <c r="M17" s="20"/>
      <c r="O17" s="20"/>
    </row>
    <row r="18">
      <c r="A18" s="11">
        <v>0.0</v>
      </c>
      <c r="B18" s="9"/>
      <c r="C18" s="11">
        <v>0.0</v>
      </c>
      <c r="D18" s="9"/>
      <c r="E18" s="13">
        <v>0.0</v>
      </c>
      <c r="F18" s="9"/>
      <c r="G18" s="13">
        <v>0.0</v>
      </c>
      <c r="H18" s="9"/>
      <c r="I18" s="13">
        <v>0.0</v>
      </c>
      <c r="J18" s="9"/>
      <c r="K18" s="13">
        <v>0.0</v>
      </c>
      <c r="M18" s="20"/>
      <c r="O18" s="20"/>
    </row>
    <row r="19">
      <c r="A19" s="11">
        <v>0.0</v>
      </c>
      <c r="B19" s="12"/>
      <c r="C19" s="11">
        <v>0.0</v>
      </c>
      <c r="D19" s="9"/>
      <c r="E19" s="13">
        <v>0.0</v>
      </c>
      <c r="F19" s="9"/>
      <c r="G19" s="13">
        <v>0.0</v>
      </c>
      <c r="H19" s="9"/>
      <c r="I19" s="13">
        <v>0.0</v>
      </c>
      <c r="J19" s="9"/>
      <c r="K19" s="13">
        <v>0.0</v>
      </c>
      <c r="M19" s="20"/>
      <c r="O19" s="20"/>
    </row>
    <row r="20">
      <c r="A20" s="11">
        <v>0.0</v>
      </c>
      <c r="B20" s="12"/>
      <c r="C20" s="11">
        <v>0.0</v>
      </c>
      <c r="D20" s="9"/>
      <c r="E20" s="13">
        <v>0.0</v>
      </c>
      <c r="F20" s="9"/>
      <c r="G20" s="13">
        <v>0.0</v>
      </c>
      <c r="H20" s="9"/>
      <c r="I20" s="13">
        <v>0.0</v>
      </c>
      <c r="J20" s="9"/>
      <c r="K20" s="13">
        <v>0.0</v>
      </c>
      <c r="M20" s="20"/>
      <c r="O20" s="20"/>
    </row>
    <row r="21">
      <c r="A21" s="11">
        <v>0.0</v>
      </c>
      <c r="B21" s="12"/>
      <c r="C21" s="11">
        <v>0.0</v>
      </c>
      <c r="D21" s="9"/>
      <c r="E21" s="13">
        <v>0.0</v>
      </c>
      <c r="F21" s="9"/>
      <c r="G21" s="13">
        <v>0.0</v>
      </c>
      <c r="H21" s="9"/>
      <c r="I21" s="13">
        <v>0.0</v>
      </c>
      <c r="J21" s="9"/>
      <c r="K21" s="13">
        <v>0.0</v>
      </c>
      <c r="M21" s="20"/>
      <c r="O21" s="20"/>
    </row>
    <row r="22">
      <c r="A22" s="11">
        <v>0.0</v>
      </c>
      <c r="B22" s="9"/>
      <c r="C22" s="11">
        <v>0.0</v>
      </c>
      <c r="D22" s="9"/>
      <c r="E22" s="13">
        <v>0.0</v>
      </c>
      <c r="F22" s="9"/>
      <c r="G22" s="13">
        <v>0.0</v>
      </c>
      <c r="H22" s="9"/>
      <c r="I22" s="13">
        <v>0.0</v>
      </c>
      <c r="J22" s="9"/>
      <c r="K22" s="13">
        <v>0.0</v>
      </c>
      <c r="M22" s="20"/>
      <c r="O22" s="20"/>
    </row>
    <row r="23">
      <c r="A23" s="11">
        <v>0.0</v>
      </c>
      <c r="B23" s="9"/>
      <c r="C23" s="11">
        <v>0.0</v>
      </c>
      <c r="D23" s="9"/>
      <c r="E23" s="13">
        <v>0.0</v>
      </c>
      <c r="F23" s="9"/>
      <c r="G23" s="13">
        <v>0.0</v>
      </c>
      <c r="H23" s="9"/>
      <c r="I23" s="13">
        <v>0.0</v>
      </c>
      <c r="J23" s="9"/>
      <c r="K23" s="13">
        <v>0.0</v>
      </c>
      <c r="M23" s="20"/>
      <c r="O23" s="20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>
        <v>0.0</v>
      </c>
      <c r="H24" s="9"/>
      <c r="I24" s="13">
        <v>0.0</v>
      </c>
      <c r="J24" s="9"/>
      <c r="K24" s="13">
        <v>0.0</v>
      </c>
      <c r="M24" s="20"/>
      <c r="O24" s="20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M25" s="20"/>
      <c r="O25" s="20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M26" s="20"/>
      <c r="O26" s="20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M27" s="20"/>
      <c r="O27" s="20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M28" s="20"/>
      <c r="O28" s="20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M29" s="20"/>
      <c r="O29" s="20"/>
    </row>
    <row r="30">
      <c r="A30" s="14">
        <f>SUM(A3:A29)</f>
        <v>4645.16129</v>
      </c>
      <c r="B30" s="9"/>
      <c r="C30" s="14">
        <f>SUM(C3:C29)</f>
        <v>0</v>
      </c>
      <c r="D30" s="15"/>
      <c r="E30" s="14">
        <f>SUM(E3:E29)</f>
        <v>0</v>
      </c>
      <c r="F30" s="14"/>
      <c r="G30" s="14">
        <f>SUM(G3:G29)</f>
        <v>0</v>
      </c>
      <c r="H30" s="9"/>
      <c r="I30" s="14">
        <f>SUM(I3:I29)</f>
        <v>0</v>
      </c>
      <c r="J30" s="9"/>
      <c r="K30" s="14">
        <f>SUM(K3:K29)</f>
        <v>0</v>
      </c>
      <c r="M30" s="19"/>
      <c r="O30" s="19"/>
    </row>
    <row r="31">
      <c r="A31" s="8" t="s">
        <v>5</v>
      </c>
      <c r="B31" s="16">
        <f>A30+C30+E30+G30+I30+K30</f>
        <v>4645.16129</v>
      </c>
    </row>
    <row r="32">
      <c r="A32" s="26">
        <f>(A30-4186.33)</f>
        <v>458.8312903</v>
      </c>
      <c r="B32" s="26"/>
      <c r="C32" s="26">
        <f>(C30-6997.99)</f>
        <v>-6997.99</v>
      </c>
      <c r="D32" s="26"/>
      <c r="E32" s="26">
        <f>(E30-6997.99)</f>
        <v>-6997.99</v>
      </c>
      <c r="F32" s="26"/>
      <c r="G32" s="26">
        <f>(G30-6997.99)</f>
        <v>-6997.99</v>
      </c>
      <c r="H32" s="26"/>
      <c r="I32" s="26">
        <f>(I30-6997.99)</f>
        <v>-6997.99</v>
      </c>
      <c r="J32" s="26"/>
      <c r="K32" s="26">
        <f>(K30-6997.99)</f>
        <v>-6997.99</v>
      </c>
    </row>
    <row r="34">
      <c r="C34" s="28" t="s">
        <v>3</v>
      </c>
      <c r="D34" s="29">
        <f>B31</f>
        <v>4645.16129</v>
      </c>
      <c r="E34" s="20"/>
    </row>
    <row r="35">
      <c r="C35" s="28" t="s">
        <v>4</v>
      </c>
      <c r="D35" s="29">
        <f>A32+C32+E32+G32+I32+K32</f>
        <v>-34531.11871</v>
      </c>
      <c r="E35" s="20"/>
    </row>
  </sheetData>
  <mergeCells count="2">
    <mergeCell ref="A1:K1"/>
    <mergeCell ref="B31:K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412.0</v>
      </c>
      <c r="B2" s="5"/>
      <c r="C2" s="8" t="s">
        <v>1</v>
      </c>
      <c r="D2" s="7"/>
      <c r="E2" s="8" t="s">
        <v>1</v>
      </c>
      <c r="F2" s="7"/>
      <c r="G2" s="8" t="s">
        <v>1</v>
      </c>
      <c r="H2" s="15"/>
      <c r="I2" s="21" t="s">
        <v>1</v>
      </c>
      <c r="J2" s="15"/>
      <c r="K2" s="21" t="s">
        <v>1</v>
      </c>
      <c r="M2" s="10"/>
      <c r="O2" s="10"/>
    </row>
    <row r="3">
      <c r="A3" s="11">
        <v>179.93</v>
      </c>
      <c r="B3" s="12"/>
      <c r="C3" s="11">
        <v>0.0</v>
      </c>
      <c r="D3" s="9"/>
      <c r="E3" s="13">
        <v>0.0</v>
      </c>
      <c r="F3" s="9"/>
      <c r="G3" s="13">
        <v>0.0</v>
      </c>
      <c r="H3" s="9"/>
      <c r="I3" s="13">
        <v>0.0</v>
      </c>
      <c r="J3" s="9"/>
      <c r="K3" s="13">
        <v>0.0</v>
      </c>
      <c r="M3" s="20"/>
      <c r="O3" s="20"/>
    </row>
    <row r="4">
      <c r="A4" s="11">
        <v>128.41</v>
      </c>
      <c r="B4" s="12"/>
      <c r="C4" s="11">
        <v>0.0</v>
      </c>
      <c r="D4" s="9"/>
      <c r="E4" s="13">
        <v>0.0</v>
      </c>
      <c r="F4" s="9"/>
      <c r="G4" s="13">
        <v>0.0</v>
      </c>
      <c r="H4" s="9"/>
      <c r="I4" s="13">
        <v>0.0</v>
      </c>
      <c r="J4" s="9"/>
      <c r="K4" s="13">
        <v>0.0</v>
      </c>
      <c r="M4" s="20"/>
      <c r="O4" s="20"/>
    </row>
    <row r="5">
      <c r="A5" s="11">
        <v>137.4</v>
      </c>
      <c r="B5" s="12"/>
      <c r="C5" s="11">
        <v>0.0</v>
      </c>
      <c r="D5" s="9"/>
      <c r="E5" s="13">
        <v>0.0</v>
      </c>
      <c r="F5" s="9"/>
      <c r="G5" s="13">
        <v>0.0</v>
      </c>
      <c r="H5" s="9"/>
      <c r="I5" s="13">
        <v>0.0</v>
      </c>
      <c r="J5" s="9"/>
      <c r="K5" s="13">
        <v>0.0</v>
      </c>
      <c r="M5" s="20"/>
      <c r="O5" s="20"/>
    </row>
    <row r="6">
      <c r="A6" s="11">
        <v>132.49</v>
      </c>
      <c r="B6" s="11"/>
      <c r="C6" s="11">
        <v>0.0</v>
      </c>
      <c r="D6" s="9"/>
      <c r="E6" s="13">
        <v>0.0</v>
      </c>
      <c r="F6" s="9"/>
      <c r="G6" s="13">
        <v>0.0</v>
      </c>
      <c r="H6" s="9"/>
      <c r="I6" s="13">
        <v>0.0</v>
      </c>
      <c r="J6" s="9"/>
      <c r="K6" s="13">
        <v>0.0</v>
      </c>
      <c r="M6" s="20"/>
      <c r="O6" s="20"/>
    </row>
    <row r="7">
      <c r="A7" s="11">
        <v>1062.42</v>
      </c>
      <c r="B7" s="11"/>
      <c r="C7" s="11">
        <v>0.0</v>
      </c>
      <c r="D7" s="9"/>
      <c r="E7" s="13">
        <v>0.0</v>
      </c>
      <c r="G7" s="13">
        <v>0.0</v>
      </c>
      <c r="H7" s="9"/>
      <c r="I7" s="13">
        <v>0.0</v>
      </c>
      <c r="J7" s="9"/>
      <c r="K7" s="13">
        <v>0.0</v>
      </c>
      <c r="M7" s="20"/>
      <c r="O7" s="20"/>
    </row>
    <row r="8">
      <c r="A8" s="11">
        <f>172.5-(172.5*13%)</f>
        <v>150.075</v>
      </c>
      <c r="B8" s="9"/>
      <c r="C8" s="11">
        <v>0.0</v>
      </c>
      <c r="D8" s="9"/>
      <c r="E8" s="13">
        <v>0.0</v>
      </c>
      <c r="F8" s="9"/>
      <c r="G8" s="13">
        <v>0.0</v>
      </c>
      <c r="H8" s="9"/>
      <c r="I8" s="13">
        <v>0.0</v>
      </c>
      <c r="J8" s="9"/>
      <c r="K8" s="13">
        <v>0.0</v>
      </c>
      <c r="M8" s="20"/>
      <c r="O8" s="20"/>
    </row>
    <row r="9">
      <c r="A9" s="11">
        <f>250-(250*10%)</f>
        <v>225</v>
      </c>
      <c r="B9" s="12"/>
      <c r="C9" s="11">
        <v>0.0</v>
      </c>
      <c r="D9" s="9"/>
      <c r="E9" s="13">
        <v>0.0</v>
      </c>
      <c r="F9" s="9"/>
      <c r="G9" s="13">
        <v>0.0</v>
      </c>
      <c r="H9" s="9"/>
      <c r="I9" s="13">
        <v>0.0</v>
      </c>
      <c r="J9" s="9"/>
      <c r="K9" s="13">
        <v>0.0</v>
      </c>
      <c r="M9" s="20"/>
      <c r="O9" s="20"/>
    </row>
    <row r="10">
      <c r="A10" s="11">
        <f>229.79-(229.79*13%)</f>
        <v>199.9173</v>
      </c>
      <c r="B10" s="12"/>
      <c r="C10" s="11">
        <v>0.0</v>
      </c>
      <c r="D10" s="9"/>
      <c r="E10" s="13">
        <v>0.0</v>
      </c>
      <c r="F10" s="9"/>
      <c r="G10" s="13">
        <v>0.0</v>
      </c>
      <c r="H10" s="9"/>
      <c r="I10" s="13">
        <v>0.0</v>
      </c>
      <c r="J10" s="9"/>
      <c r="K10" s="13">
        <v>0.0</v>
      </c>
      <c r="M10" s="20"/>
      <c r="O10" s="20"/>
    </row>
    <row r="11">
      <c r="A11" s="11">
        <f>165.87-(165.87*10%)</f>
        <v>149.283</v>
      </c>
      <c r="B11" s="12"/>
      <c r="C11" s="11">
        <v>0.0</v>
      </c>
      <c r="D11" s="9"/>
      <c r="E11" s="13">
        <v>0.0</v>
      </c>
      <c r="F11" s="9"/>
      <c r="G11" s="13">
        <v>0.0</v>
      </c>
      <c r="H11" s="9"/>
      <c r="I11" s="13">
        <v>0.0</v>
      </c>
      <c r="J11" s="9"/>
      <c r="K11" s="13">
        <v>0.0</v>
      </c>
      <c r="M11" s="20"/>
      <c r="O11" s="20"/>
    </row>
    <row r="12">
      <c r="A12" s="11">
        <f t="shared" ref="A12:A13" si="1">148-(148*10%)</f>
        <v>133.2</v>
      </c>
      <c r="B12" s="12"/>
      <c r="C12" s="11">
        <v>0.0</v>
      </c>
      <c r="D12" s="9"/>
      <c r="E12" s="13">
        <v>0.0</v>
      </c>
      <c r="F12" s="9"/>
      <c r="G12" s="13">
        <v>0.0</v>
      </c>
      <c r="H12" s="9"/>
      <c r="I12" s="13">
        <v>0.0</v>
      </c>
      <c r="J12" s="9"/>
      <c r="K12" s="13">
        <v>0.0</v>
      </c>
      <c r="M12" s="20"/>
      <c r="O12" s="20"/>
    </row>
    <row r="13">
      <c r="A13" s="11">
        <f t="shared" si="1"/>
        <v>133.2</v>
      </c>
      <c r="B13" s="9"/>
      <c r="C13" s="11">
        <v>0.0</v>
      </c>
      <c r="D13" s="9"/>
      <c r="E13" s="13">
        <v>0.0</v>
      </c>
      <c r="F13" s="9"/>
      <c r="G13" s="13">
        <v>0.0</v>
      </c>
      <c r="H13" s="9"/>
      <c r="I13" s="13">
        <v>0.0</v>
      </c>
      <c r="J13" s="9"/>
      <c r="K13" s="13">
        <v>0.0</v>
      </c>
      <c r="M13" s="20"/>
      <c r="O13" s="20"/>
    </row>
    <row r="14">
      <c r="A14" s="11">
        <f>310.5-(310.5*13%)</f>
        <v>270.135</v>
      </c>
      <c r="B14" s="12"/>
      <c r="C14" s="11">
        <v>0.0</v>
      </c>
      <c r="D14" s="9"/>
      <c r="E14" s="13">
        <v>0.0</v>
      </c>
      <c r="F14" s="9"/>
      <c r="G14" s="13">
        <v>0.0</v>
      </c>
      <c r="H14" s="9"/>
      <c r="I14" s="13">
        <v>0.0</v>
      </c>
      <c r="J14" s="9"/>
      <c r="K14" s="13">
        <v>0.0</v>
      </c>
      <c r="M14" s="20"/>
      <c r="O14" s="20"/>
    </row>
    <row r="15">
      <c r="A15" s="11">
        <v>0.0</v>
      </c>
      <c r="B15" s="12"/>
      <c r="C15" s="11">
        <v>0.0</v>
      </c>
      <c r="D15" s="9"/>
      <c r="E15" s="13">
        <v>0.0</v>
      </c>
      <c r="F15" s="9"/>
      <c r="G15" s="13">
        <v>0.0</v>
      </c>
      <c r="H15" s="9"/>
      <c r="I15" s="13">
        <v>0.0</v>
      </c>
      <c r="J15" s="9"/>
      <c r="K15" s="13">
        <v>0.0</v>
      </c>
      <c r="M15" s="20"/>
      <c r="O15" s="20"/>
    </row>
    <row r="16">
      <c r="A16" s="11">
        <v>0.0</v>
      </c>
      <c r="B16" s="12"/>
      <c r="C16" s="11">
        <v>0.0</v>
      </c>
      <c r="D16" s="9"/>
      <c r="E16" s="13">
        <v>0.0</v>
      </c>
      <c r="F16" s="9"/>
      <c r="G16" s="13">
        <v>0.0</v>
      </c>
      <c r="H16" s="9"/>
      <c r="I16" s="13">
        <v>0.0</v>
      </c>
      <c r="J16" s="9"/>
      <c r="K16" s="13">
        <v>0.0</v>
      </c>
      <c r="M16" s="20"/>
      <c r="O16" s="20"/>
    </row>
    <row r="17">
      <c r="A17" s="11">
        <v>0.0</v>
      </c>
      <c r="B17" s="12"/>
      <c r="C17" s="11">
        <v>0.0</v>
      </c>
      <c r="D17" s="9"/>
      <c r="E17" s="13">
        <v>0.0</v>
      </c>
      <c r="F17" s="9"/>
      <c r="G17" s="13">
        <v>0.0</v>
      </c>
      <c r="H17" s="9"/>
      <c r="I17" s="13">
        <v>0.0</v>
      </c>
      <c r="J17" s="9"/>
      <c r="K17" s="13">
        <v>0.0</v>
      </c>
      <c r="M17" s="20"/>
      <c r="O17" s="20"/>
    </row>
    <row r="18">
      <c r="A18" s="11">
        <v>0.0</v>
      </c>
      <c r="B18" s="9"/>
      <c r="C18" s="11">
        <v>0.0</v>
      </c>
      <c r="D18" s="9"/>
      <c r="E18" s="13">
        <v>0.0</v>
      </c>
      <c r="F18" s="9"/>
      <c r="G18" s="13">
        <v>0.0</v>
      </c>
      <c r="H18" s="9"/>
      <c r="I18" s="13">
        <v>0.0</v>
      </c>
      <c r="J18" s="9"/>
      <c r="K18" s="13">
        <v>0.0</v>
      </c>
      <c r="M18" s="20"/>
      <c r="O18" s="20"/>
    </row>
    <row r="19">
      <c r="A19" s="11">
        <v>0.0</v>
      </c>
      <c r="B19" s="12"/>
      <c r="C19" s="11">
        <v>0.0</v>
      </c>
      <c r="D19" s="9"/>
      <c r="E19" s="13">
        <v>0.0</v>
      </c>
      <c r="F19" s="9"/>
      <c r="G19" s="13">
        <v>0.0</v>
      </c>
      <c r="H19" s="9"/>
      <c r="I19" s="13">
        <v>0.0</v>
      </c>
      <c r="J19" s="9"/>
      <c r="K19" s="13">
        <v>0.0</v>
      </c>
      <c r="M19" s="20"/>
      <c r="O19" s="20"/>
    </row>
    <row r="20">
      <c r="A20" s="11">
        <v>0.0</v>
      </c>
      <c r="B20" s="12"/>
      <c r="C20" s="11">
        <v>0.0</v>
      </c>
      <c r="D20" s="9"/>
      <c r="E20" s="13">
        <v>0.0</v>
      </c>
      <c r="F20" s="9"/>
      <c r="G20" s="13">
        <v>0.0</v>
      </c>
      <c r="H20" s="9"/>
      <c r="I20" s="13">
        <v>0.0</v>
      </c>
      <c r="J20" s="9"/>
      <c r="K20" s="13">
        <v>0.0</v>
      </c>
      <c r="M20" s="20"/>
      <c r="O20" s="20"/>
    </row>
    <row r="21">
      <c r="A21" s="11">
        <v>0.0</v>
      </c>
      <c r="B21" s="12"/>
      <c r="C21" s="11">
        <v>0.0</v>
      </c>
      <c r="D21" s="9"/>
      <c r="E21" s="13">
        <v>0.0</v>
      </c>
      <c r="F21" s="9"/>
      <c r="G21" s="13">
        <v>0.0</v>
      </c>
      <c r="H21" s="9"/>
      <c r="I21" s="13">
        <v>0.0</v>
      </c>
      <c r="J21" s="9"/>
      <c r="K21" s="13">
        <v>0.0</v>
      </c>
      <c r="M21" s="20"/>
      <c r="O21" s="20"/>
    </row>
    <row r="22">
      <c r="A22" s="11">
        <v>0.0</v>
      </c>
      <c r="B22" s="9"/>
      <c r="C22" s="11">
        <v>0.0</v>
      </c>
      <c r="D22" s="9"/>
      <c r="E22" s="13">
        <v>0.0</v>
      </c>
      <c r="F22" s="9"/>
      <c r="G22" s="13">
        <v>0.0</v>
      </c>
      <c r="H22" s="9"/>
      <c r="I22" s="13">
        <v>0.0</v>
      </c>
      <c r="J22" s="9"/>
      <c r="K22" s="13">
        <v>0.0</v>
      </c>
      <c r="M22" s="20"/>
      <c r="O22" s="20"/>
    </row>
    <row r="23">
      <c r="A23" s="11">
        <v>0.0</v>
      </c>
      <c r="B23" s="9"/>
      <c r="C23" s="11">
        <v>0.0</v>
      </c>
      <c r="D23" s="9"/>
      <c r="E23" s="13">
        <v>0.0</v>
      </c>
      <c r="F23" s="9"/>
      <c r="G23" s="13">
        <v>0.0</v>
      </c>
      <c r="H23" s="9"/>
      <c r="I23" s="13">
        <v>0.0</v>
      </c>
      <c r="J23" s="9"/>
      <c r="K23" s="13">
        <v>0.0</v>
      </c>
      <c r="M23" s="20"/>
      <c r="O23" s="20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>
        <v>0.0</v>
      </c>
      <c r="H24" s="9"/>
      <c r="I24" s="13">
        <v>0.0</v>
      </c>
      <c r="J24" s="9"/>
      <c r="K24" s="13">
        <v>0.0</v>
      </c>
      <c r="M24" s="20"/>
      <c r="O24" s="20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M25" s="20"/>
      <c r="O25" s="20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M26" s="20"/>
      <c r="O26" s="20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M27" s="20"/>
      <c r="O27" s="20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M28" s="20"/>
      <c r="O28" s="20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M29" s="20"/>
      <c r="O29" s="20"/>
    </row>
    <row r="30">
      <c r="A30" s="14">
        <f>SUM(A3:A29)</f>
        <v>2901.4603</v>
      </c>
      <c r="B30" s="9"/>
      <c r="C30" s="14">
        <f>SUM(C3:C29)</f>
        <v>0</v>
      </c>
      <c r="D30" s="15"/>
      <c r="E30" s="14">
        <f>SUM(E3:E29)</f>
        <v>0</v>
      </c>
      <c r="F30" s="14"/>
      <c r="G30" s="14">
        <f>SUM(G3:G29)</f>
        <v>0</v>
      </c>
      <c r="H30" s="9"/>
      <c r="I30" s="14">
        <f>SUM(I3:I29)</f>
        <v>0</v>
      </c>
      <c r="J30" s="9"/>
      <c r="K30" s="14">
        <f>SUM(K3:K29)</f>
        <v>0</v>
      </c>
      <c r="M30" s="19"/>
      <c r="O30" s="19"/>
    </row>
    <row r="31">
      <c r="A31" s="8" t="s">
        <v>5</v>
      </c>
      <c r="B31" s="16">
        <f>A30+C30+E30+G30+I30+K30</f>
        <v>2901.4603</v>
      </c>
    </row>
    <row r="32">
      <c r="A32" s="26">
        <f>(A30-4086.33)</f>
        <v>-1184.8697</v>
      </c>
      <c r="B32" s="26"/>
      <c r="C32" s="26">
        <f>(C30-645.15)</f>
        <v>-645.15</v>
      </c>
      <c r="D32" s="26"/>
      <c r="E32" s="26">
        <f>(E30-645.15)</f>
        <v>-645.15</v>
      </c>
      <c r="F32" s="26"/>
      <c r="G32" s="26">
        <f>(G30-645.15)</f>
        <v>-645.15</v>
      </c>
      <c r="H32" s="26"/>
      <c r="I32" s="26">
        <f>(I30-645.15)</f>
        <v>-645.15</v>
      </c>
      <c r="J32" s="26"/>
      <c r="K32" s="26">
        <f>(K30-645.15)</f>
        <v>-645.15</v>
      </c>
    </row>
    <row r="35">
      <c r="C35" s="28" t="s">
        <v>3</v>
      </c>
      <c r="D35" s="29">
        <f>B31</f>
        <v>2901.4603</v>
      </c>
      <c r="E35" s="20"/>
    </row>
    <row r="36">
      <c r="C36" s="28" t="s">
        <v>4</v>
      </c>
      <c r="D36" s="29">
        <f>A32+C32+E32+G32+I32+K32</f>
        <v>-4410.6197</v>
      </c>
      <c r="E36" s="20"/>
    </row>
  </sheetData>
  <mergeCells count="2">
    <mergeCell ref="A1:K1"/>
    <mergeCell ref="B31:K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6</v>
      </c>
      <c r="B2" s="5"/>
      <c r="C2" s="8" t="s">
        <v>1</v>
      </c>
      <c r="D2" s="7"/>
      <c r="E2" s="36" t="s">
        <v>1</v>
      </c>
      <c r="F2" s="7"/>
      <c r="G2" s="8" t="s">
        <v>1</v>
      </c>
      <c r="H2" s="7"/>
      <c r="I2" s="8" t="s">
        <v>1</v>
      </c>
      <c r="J2" s="15"/>
      <c r="K2" s="21" t="s">
        <v>1</v>
      </c>
      <c r="M2" s="10"/>
      <c r="O2" s="10"/>
    </row>
    <row r="3">
      <c r="A3" s="11">
        <f>149.5-(149.5*16%)</f>
        <v>125.58</v>
      </c>
      <c r="B3" s="23"/>
      <c r="C3" s="11">
        <v>0.0</v>
      </c>
      <c r="D3" s="30"/>
      <c r="E3" s="25">
        <v>0.0</v>
      </c>
      <c r="F3" s="9"/>
      <c r="G3" s="25">
        <v>0.0</v>
      </c>
      <c r="H3" s="9"/>
      <c r="I3" s="13">
        <v>0.0</v>
      </c>
      <c r="J3" s="9"/>
      <c r="K3" s="13">
        <v>0.0</v>
      </c>
      <c r="M3" s="20"/>
      <c r="O3" s="20"/>
    </row>
    <row r="4">
      <c r="A4" s="11">
        <f t="shared" ref="A4:A5" si="1">138-(138*16%)</f>
        <v>115.92</v>
      </c>
      <c r="B4" s="12"/>
      <c r="C4" s="11">
        <v>0.0</v>
      </c>
      <c r="D4" s="9"/>
      <c r="E4" s="25">
        <v>0.0</v>
      </c>
      <c r="F4" s="9"/>
      <c r="G4" s="25">
        <v>0.0</v>
      </c>
      <c r="H4" s="9"/>
      <c r="I4" s="13">
        <v>0.0</v>
      </c>
      <c r="J4" s="9"/>
      <c r="K4" s="13">
        <v>0.0</v>
      </c>
      <c r="M4" s="20"/>
      <c r="O4" s="20"/>
    </row>
    <row r="5">
      <c r="A5" s="11">
        <f t="shared" si="1"/>
        <v>115.92</v>
      </c>
      <c r="B5" s="12"/>
      <c r="C5" s="11">
        <v>0.0</v>
      </c>
      <c r="D5" s="9"/>
      <c r="E5" s="25">
        <v>0.0</v>
      </c>
      <c r="F5" s="9"/>
      <c r="G5" s="25">
        <v>0.0</v>
      </c>
      <c r="H5" s="9"/>
      <c r="I5" s="13">
        <v>0.0</v>
      </c>
      <c r="J5" s="9"/>
      <c r="K5" s="13">
        <v>0.0</v>
      </c>
      <c r="M5" s="20"/>
      <c r="O5" s="20"/>
    </row>
    <row r="6">
      <c r="A6" s="11">
        <f> 140-( 140*10%)</f>
        <v>126</v>
      </c>
      <c r="B6" s="11"/>
      <c r="C6" s="11">
        <v>0.0</v>
      </c>
      <c r="D6" s="9"/>
      <c r="E6" s="25">
        <v>0.0</v>
      </c>
      <c r="F6" s="9"/>
      <c r="G6" s="25">
        <v>0.0</v>
      </c>
      <c r="H6" s="9"/>
      <c r="I6" s="13">
        <v>0.0</v>
      </c>
      <c r="J6" s="9"/>
      <c r="K6" s="13">
        <v>0.0</v>
      </c>
      <c r="M6" s="20"/>
      <c r="O6" s="20"/>
    </row>
    <row r="7">
      <c r="A7" s="11">
        <f> 184-( 184*16%)</f>
        <v>154.56</v>
      </c>
      <c r="B7" s="11"/>
      <c r="C7" s="11">
        <v>0.0</v>
      </c>
      <c r="D7" s="9"/>
      <c r="E7" s="25">
        <v>0.0</v>
      </c>
      <c r="F7" s="9"/>
      <c r="G7" s="25">
        <v>0.0</v>
      </c>
      <c r="H7" s="9"/>
      <c r="I7" s="13">
        <v>0.0</v>
      </c>
      <c r="J7" s="9"/>
      <c r="K7" s="13">
        <v>0.0</v>
      </c>
      <c r="M7" s="20"/>
      <c r="O7" s="20"/>
    </row>
    <row r="8">
      <c r="A8" s="11">
        <f> 161-( 161*16%)</f>
        <v>135.24</v>
      </c>
      <c r="B8" s="9"/>
      <c r="C8" s="11">
        <v>0.0</v>
      </c>
      <c r="D8" s="9"/>
      <c r="E8" s="25">
        <v>0.0</v>
      </c>
      <c r="F8" s="9"/>
      <c r="G8" s="25">
        <v>0.0</v>
      </c>
      <c r="H8" s="10"/>
      <c r="I8" s="13">
        <v>0.0</v>
      </c>
      <c r="J8" s="9"/>
      <c r="K8" s="13">
        <v>0.0</v>
      </c>
      <c r="M8" s="20"/>
      <c r="O8" s="20"/>
    </row>
    <row r="9">
      <c r="A9" s="11">
        <v>132.49</v>
      </c>
      <c r="B9" s="12"/>
      <c r="C9" s="11">
        <v>0.0</v>
      </c>
      <c r="D9" s="9"/>
      <c r="E9" s="13">
        <v>0.0</v>
      </c>
      <c r="F9" s="9"/>
      <c r="G9" s="25">
        <v>0.0</v>
      </c>
      <c r="H9" s="37"/>
      <c r="I9" s="13">
        <v>0.0</v>
      </c>
      <c r="J9" s="9"/>
      <c r="K9" s="13">
        <v>0.0</v>
      </c>
      <c r="M9" s="20"/>
      <c r="O9" s="20"/>
    </row>
    <row r="10">
      <c r="A10" s="11">
        <f> 185.27-( 185.27*16%)</f>
        <v>155.6268</v>
      </c>
      <c r="B10" s="12"/>
      <c r="C10" s="11">
        <v>0.0</v>
      </c>
      <c r="D10" s="9"/>
      <c r="E10" s="13">
        <v>0.0</v>
      </c>
      <c r="F10" s="9"/>
      <c r="G10" s="25">
        <v>0.0</v>
      </c>
      <c r="H10" s="9"/>
      <c r="I10" s="13">
        <v>0.0</v>
      </c>
      <c r="J10" s="9"/>
      <c r="K10" s="13">
        <v>0.0</v>
      </c>
      <c r="M10" s="20"/>
      <c r="O10" s="20"/>
    </row>
    <row r="11">
      <c r="A11" s="11">
        <f> 597.42-( 597.42*16%)</f>
        <v>501.8328</v>
      </c>
      <c r="B11" s="12"/>
      <c r="C11" s="11">
        <v>0.0</v>
      </c>
      <c r="D11" s="9"/>
      <c r="E11" s="13">
        <v>0.0</v>
      </c>
      <c r="F11" s="9"/>
      <c r="G11" s="25">
        <v>0.0</v>
      </c>
      <c r="H11" s="9"/>
      <c r="I11" s="13">
        <v>0.0</v>
      </c>
      <c r="J11" s="9"/>
      <c r="K11" s="13">
        <v>0.0</v>
      </c>
      <c r="M11" s="20"/>
      <c r="O11" s="20"/>
    </row>
    <row r="12">
      <c r="A12" s="11">
        <v>187.29</v>
      </c>
      <c r="B12" s="12"/>
      <c r="C12" s="11">
        <v>0.0</v>
      </c>
      <c r="D12" s="9"/>
      <c r="E12" s="13">
        <v>0.0</v>
      </c>
      <c r="F12" s="9"/>
      <c r="G12" s="25">
        <v>0.0</v>
      </c>
      <c r="H12" s="10"/>
      <c r="I12" s="13">
        <v>0.0</v>
      </c>
      <c r="J12" s="9"/>
      <c r="K12" s="13">
        <v>0.0</v>
      </c>
      <c r="M12" s="20"/>
      <c r="O12" s="20"/>
    </row>
    <row r="13">
      <c r="A13" s="11">
        <v>179.93</v>
      </c>
      <c r="B13" s="9"/>
      <c r="C13" s="11">
        <v>0.0</v>
      </c>
      <c r="D13" s="9"/>
      <c r="E13" s="13">
        <v>0.0</v>
      </c>
      <c r="F13" s="9"/>
      <c r="G13" s="25">
        <v>0.0</v>
      </c>
      <c r="H13" s="9"/>
      <c r="I13" s="13">
        <v>0.0</v>
      </c>
      <c r="J13" s="9"/>
      <c r="K13" s="13">
        <v>0.0</v>
      </c>
      <c r="M13" s="20"/>
      <c r="O13" s="20"/>
    </row>
    <row r="14">
      <c r="A14" s="11">
        <f>316.83-(316.83*16%)</f>
        <v>266.1372</v>
      </c>
      <c r="B14" s="12"/>
      <c r="C14" s="11">
        <v>0.0</v>
      </c>
      <c r="D14" s="9"/>
      <c r="E14" s="13">
        <v>0.0</v>
      </c>
      <c r="F14" s="9"/>
      <c r="G14" s="25">
        <v>0.0</v>
      </c>
      <c r="H14" s="9"/>
      <c r="I14" s="13">
        <v>0.0</v>
      </c>
      <c r="J14" s="9"/>
      <c r="K14" s="13">
        <v>0.0</v>
      </c>
      <c r="M14" s="20"/>
      <c r="O14" s="20"/>
    </row>
    <row r="15">
      <c r="A15" s="11">
        <f> 223.1-( 223.1*16%)</f>
        <v>187.404</v>
      </c>
      <c r="B15" s="12"/>
      <c r="C15" s="11">
        <v>0.0</v>
      </c>
      <c r="D15" s="9"/>
      <c r="E15" s="13">
        <v>0.0</v>
      </c>
      <c r="F15" s="9"/>
      <c r="G15" s="25">
        <v>0.0</v>
      </c>
      <c r="H15" s="9"/>
      <c r="I15" s="13">
        <v>0.0</v>
      </c>
      <c r="J15" s="9"/>
      <c r="K15" s="13">
        <v>0.0</v>
      </c>
      <c r="M15" s="20"/>
      <c r="O15" s="20"/>
    </row>
    <row r="16">
      <c r="A16" s="11">
        <f> 356.16-( 356.16*16%)</f>
        <v>299.1744</v>
      </c>
      <c r="B16" s="12"/>
      <c r="C16" s="11">
        <v>0.0</v>
      </c>
      <c r="D16" s="9"/>
      <c r="E16" s="13">
        <v>0.0</v>
      </c>
      <c r="F16" s="9"/>
      <c r="G16" s="25">
        <v>0.0</v>
      </c>
      <c r="H16" s="12"/>
      <c r="I16" s="13">
        <v>0.0</v>
      </c>
      <c r="J16" s="9"/>
      <c r="K16" s="13">
        <v>0.0</v>
      </c>
      <c r="M16" s="20"/>
      <c r="O16" s="20"/>
    </row>
    <row r="17">
      <c r="A17" s="11">
        <v>142.31</v>
      </c>
      <c r="B17" s="12"/>
      <c r="C17" s="11">
        <v>0.0</v>
      </c>
      <c r="D17" s="9"/>
      <c r="E17" s="13">
        <v>0.0</v>
      </c>
      <c r="F17" s="9"/>
      <c r="G17" s="25">
        <v>0.0</v>
      </c>
      <c r="H17" s="9"/>
      <c r="I17" s="13">
        <v>0.0</v>
      </c>
      <c r="J17" s="9"/>
      <c r="K17" s="13">
        <v>0.0</v>
      </c>
      <c r="M17" s="20"/>
      <c r="O17" s="20"/>
    </row>
    <row r="18">
      <c r="A18" s="11">
        <f> 356.16-( 356.16*16%)</f>
        <v>299.1744</v>
      </c>
      <c r="B18" s="9"/>
      <c r="C18" s="11">
        <v>0.0</v>
      </c>
      <c r="D18" s="9"/>
      <c r="E18" s="13">
        <v>0.0</v>
      </c>
      <c r="F18" s="9"/>
      <c r="G18" s="25">
        <v>0.0</v>
      </c>
      <c r="H18" s="9"/>
      <c r="I18" s="13">
        <v>0.0</v>
      </c>
      <c r="J18" s="9"/>
      <c r="K18" s="13">
        <v>0.0</v>
      </c>
      <c r="M18" s="20"/>
      <c r="O18" s="20"/>
    </row>
    <row r="19">
      <c r="A19" s="11">
        <f> 654.91-( 654.91*16%)</f>
        <v>550.1244</v>
      </c>
      <c r="B19" s="12"/>
      <c r="C19" s="11">
        <v>0.0</v>
      </c>
      <c r="D19" s="9"/>
      <c r="E19" s="13">
        <v>0.0</v>
      </c>
      <c r="F19" s="9"/>
      <c r="G19" s="25">
        <v>0.0</v>
      </c>
      <c r="H19" s="9"/>
      <c r="I19" s="13">
        <v>0.0</v>
      </c>
      <c r="J19" s="9"/>
      <c r="K19" s="13">
        <v>0.0</v>
      </c>
      <c r="M19" s="20"/>
      <c r="O19" s="20"/>
    </row>
    <row r="20">
      <c r="A20" s="11">
        <f> (487.29)/2*1</f>
        <v>243.645</v>
      </c>
      <c r="B20" s="12"/>
      <c r="C20" s="11">
        <v>0.0</v>
      </c>
      <c r="D20" s="9"/>
      <c r="E20" s="13">
        <v>0.0</v>
      </c>
      <c r="F20" s="9"/>
      <c r="G20" s="25">
        <v>0.0</v>
      </c>
      <c r="H20" s="9"/>
      <c r="I20" s="13">
        <v>0.0</v>
      </c>
      <c r="J20" s="9"/>
      <c r="K20" s="13">
        <v>0.0</v>
      </c>
      <c r="M20" s="20"/>
      <c r="O20" s="20"/>
    </row>
    <row r="21">
      <c r="A21" s="11">
        <v>0.0</v>
      </c>
      <c r="B21" s="12"/>
      <c r="C21" s="11">
        <v>0.0</v>
      </c>
      <c r="D21" s="9"/>
      <c r="E21" s="13">
        <v>0.0</v>
      </c>
      <c r="F21" s="9"/>
      <c r="G21" s="13">
        <v>0.0</v>
      </c>
      <c r="H21" s="9"/>
      <c r="I21" s="13">
        <v>0.0</v>
      </c>
      <c r="J21" s="9"/>
      <c r="K21" s="13">
        <v>0.0</v>
      </c>
      <c r="M21" s="20"/>
      <c r="O21" s="20"/>
    </row>
    <row r="22">
      <c r="A22" s="11">
        <v>0.0</v>
      </c>
      <c r="B22" s="9"/>
      <c r="C22" s="11">
        <v>0.0</v>
      </c>
      <c r="D22" s="9"/>
      <c r="E22" s="13">
        <v>0.0</v>
      </c>
      <c r="F22" s="9"/>
      <c r="G22" s="13">
        <v>0.0</v>
      </c>
      <c r="H22" s="9"/>
      <c r="I22" s="13">
        <v>0.0</v>
      </c>
      <c r="J22" s="9"/>
      <c r="K22" s="13">
        <v>0.0</v>
      </c>
      <c r="M22" s="20"/>
      <c r="O22" s="20"/>
    </row>
    <row r="23">
      <c r="A23" s="11">
        <v>0.0</v>
      </c>
      <c r="B23" s="9"/>
      <c r="C23" s="11">
        <v>0.0</v>
      </c>
      <c r="D23" s="9"/>
      <c r="E23" s="13">
        <v>0.0</v>
      </c>
      <c r="F23" s="9"/>
      <c r="G23" s="13">
        <v>0.0</v>
      </c>
      <c r="H23" s="9"/>
      <c r="I23" s="13">
        <v>0.0</v>
      </c>
      <c r="J23" s="9"/>
      <c r="K23" s="13">
        <v>0.0</v>
      </c>
      <c r="M23" s="20"/>
      <c r="O23" s="20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>
        <v>0.0</v>
      </c>
      <c r="H24" s="9"/>
      <c r="I24" s="13">
        <v>0.0</v>
      </c>
      <c r="J24" s="9"/>
      <c r="K24" s="13">
        <v>0.0</v>
      </c>
      <c r="M24" s="20"/>
      <c r="O24" s="20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M25" s="20"/>
      <c r="O25" s="20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M26" s="20"/>
      <c r="O26" s="20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M27" s="20"/>
      <c r="O27" s="20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M28" s="20"/>
      <c r="O28" s="20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M29" s="20"/>
      <c r="O29" s="20"/>
    </row>
    <row r="30">
      <c r="A30" s="14">
        <f>SUM(A3:A29)</f>
        <v>3918.359</v>
      </c>
      <c r="B30" s="9"/>
      <c r="C30" s="14">
        <f>SUM(C3:C29)</f>
        <v>0</v>
      </c>
      <c r="D30" s="15"/>
      <c r="E30" s="14">
        <f>SUM(E3:E29)+(A30+C30)</f>
        <v>3918.359</v>
      </c>
      <c r="F30" s="14"/>
      <c r="G30" s="14">
        <f>SUM(G3:G29)</f>
        <v>0</v>
      </c>
      <c r="H30" s="9"/>
      <c r="I30" s="14">
        <f>SUM(I3:I29)</f>
        <v>0</v>
      </c>
      <c r="J30" s="9"/>
      <c r="K30" s="14">
        <f>SUM(K3:K29)</f>
        <v>0</v>
      </c>
      <c r="M30" s="19"/>
      <c r="O30" s="19"/>
    </row>
    <row r="31">
      <c r="A31" s="8" t="s">
        <v>5</v>
      </c>
      <c r="B31" s="16">
        <f>A30+C30+E30+G30+I30+K30</f>
        <v>7836.718</v>
      </c>
    </row>
    <row r="32">
      <c r="A32" s="26">
        <f>(A30-3998.31)</f>
        <v>-79.951</v>
      </c>
      <c r="B32" s="26"/>
      <c r="C32" s="26">
        <f>(C30-0)</f>
        <v>0</v>
      </c>
      <c r="D32" s="26"/>
      <c r="E32" s="26">
        <f>(E30-0)</f>
        <v>3918.359</v>
      </c>
      <c r="F32" s="26"/>
      <c r="G32" s="26">
        <f>(G30-0)</f>
        <v>0</v>
      </c>
      <c r="H32" s="26"/>
      <c r="I32" s="26">
        <f>(I30-0)</f>
        <v>0</v>
      </c>
      <c r="J32" s="26"/>
      <c r="K32" s="26">
        <f>(K30-0)</f>
        <v>0</v>
      </c>
    </row>
    <row r="35">
      <c r="D35" s="28" t="s">
        <v>3</v>
      </c>
      <c r="E35" s="29">
        <f>B31</f>
        <v>7836.718</v>
      </c>
      <c r="F35" s="20"/>
    </row>
    <row r="36">
      <c r="D36" s="28" t="s">
        <v>4</v>
      </c>
      <c r="E36" s="29">
        <f>A32+C32+E32+G32+I32+K32</f>
        <v>3838.408</v>
      </c>
      <c r="F36" s="20"/>
    </row>
  </sheetData>
  <mergeCells count="2">
    <mergeCell ref="A1:K1"/>
    <mergeCell ref="B31:K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906.0</v>
      </c>
      <c r="B2" s="5"/>
      <c r="C2" s="6">
        <v>1309.0</v>
      </c>
      <c r="D2" s="7"/>
      <c r="E2" s="6">
        <v>1322.0</v>
      </c>
      <c r="F2" s="30"/>
      <c r="G2" s="6">
        <v>1420.0</v>
      </c>
      <c r="H2" s="30"/>
      <c r="I2" s="6">
        <v>1421.0</v>
      </c>
      <c r="J2" s="30"/>
      <c r="K2" s="6">
        <v>1422.0</v>
      </c>
      <c r="L2" s="9"/>
      <c r="M2" s="10"/>
      <c r="N2" s="9"/>
      <c r="O2" s="10"/>
    </row>
    <row r="3">
      <c r="A3" s="11">
        <f>573.85-(573.85*16%)</f>
        <v>482.034</v>
      </c>
      <c r="B3" s="12"/>
      <c r="C3" s="11">
        <f>(631.55)/2*1</f>
        <v>315.775</v>
      </c>
      <c r="D3" s="9"/>
      <c r="E3" s="13">
        <v>179.93</v>
      </c>
      <c r="F3" s="9"/>
      <c r="G3" s="25">
        <f> 529.38-( 529.38*16%)</f>
        <v>444.6792</v>
      </c>
      <c r="H3" s="24"/>
      <c r="I3" s="25">
        <f> 529.38-( 529.38*16%)</f>
        <v>444.6792</v>
      </c>
      <c r="J3" s="10"/>
      <c r="K3" s="13">
        <f>631.24-(631.24*16%)</f>
        <v>530.2416</v>
      </c>
      <c r="L3" s="9"/>
      <c r="M3" s="13"/>
      <c r="N3" s="9"/>
      <c r="O3" s="13"/>
    </row>
    <row r="4">
      <c r="A4" s="11">
        <f>142.6-(142.6*16%)</f>
        <v>119.784</v>
      </c>
      <c r="B4" s="12"/>
      <c r="C4" s="11">
        <v>274.81</v>
      </c>
      <c r="D4" s="9"/>
      <c r="E4" s="13">
        <v>122.68</v>
      </c>
      <c r="F4" s="9"/>
      <c r="G4" s="13">
        <f> 130.51-( 130.51*16%)</f>
        <v>109.6284</v>
      </c>
      <c r="H4" s="9"/>
      <c r="I4" s="13">
        <f> 130.51-( 130.51*16%)</f>
        <v>109.6284</v>
      </c>
      <c r="J4" s="9"/>
      <c r="K4" s="13">
        <f>145.01-(145.01*16%)</f>
        <v>121.8084</v>
      </c>
      <c r="L4" s="9"/>
      <c r="M4" s="13"/>
      <c r="N4" s="9"/>
      <c r="O4" s="13"/>
    </row>
    <row r="5">
      <c r="A5" s="11">
        <f>512.01-(512.01*16%)</f>
        <v>430.0884</v>
      </c>
      <c r="B5" s="12"/>
      <c r="C5" s="11">
        <v>122.68</v>
      </c>
      <c r="D5" s="9"/>
      <c r="E5" s="13">
        <v>274.81</v>
      </c>
      <c r="F5" s="9"/>
      <c r="G5" s="13">
        <f t="shared" ref="G5:G7" si="1"> 134.55-( 134.55*16%)</f>
        <v>113.022</v>
      </c>
      <c r="H5" s="9"/>
      <c r="I5" s="13">
        <f> 150.59-( 150.59*16%)</f>
        <v>126.4956</v>
      </c>
      <c r="J5" s="9"/>
      <c r="K5" s="13">
        <f>296.7-(296.7*16%)</f>
        <v>249.228</v>
      </c>
      <c r="L5" s="9"/>
      <c r="M5" s="13"/>
      <c r="N5" s="9"/>
      <c r="O5" s="13"/>
    </row>
    <row r="6">
      <c r="A6" s="11">
        <f>161-(161*16%)</f>
        <v>135.24</v>
      </c>
      <c r="B6" s="11"/>
      <c r="C6" s="11">
        <v>303.43</v>
      </c>
      <c r="D6" s="9"/>
      <c r="E6" s="13">
        <f>164.45-(164.45*16%)</f>
        <v>138.138</v>
      </c>
      <c r="F6" s="9"/>
      <c r="G6" s="13">
        <f t="shared" si="1"/>
        <v>113.022</v>
      </c>
      <c r="H6" s="9"/>
      <c r="I6" s="13">
        <v>128.53</v>
      </c>
      <c r="J6" s="9"/>
      <c r="K6" s="13">
        <f> 404.8-( 404.8*16%)</f>
        <v>340.032</v>
      </c>
      <c r="L6" s="9"/>
      <c r="M6" s="13"/>
      <c r="N6" s="9"/>
      <c r="O6" s="13"/>
    </row>
    <row r="7">
      <c r="A7" s="11">
        <v>161.12</v>
      </c>
      <c r="B7" s="11"/>
      <c r="C7" s="11">
        <f>206.14-(206.14*16%)</f>
        <v>173.1576</v>
      </c>
      <c r="D7" s="9"/>
      <c r="E7" s="13">
        <f> 176.7-( 176.7*16%)</f>
        <v>148.428</v>
      </c>
      <c r="F7" s="9"/>
      <c r="G7" s="13">
        <f t="shared" si="1"/>
        <v>113.022</v>
      </c>
      <c r="H7" s="9"/>
      <c r="I7" s="25">
        <f> 134.55-( 134.55*16%)</f>
        <v>113.022</v>
      </c>
      <c r="J7" s="10"/>
      <c r="K7" s="13">
        <v>128.53</v>
      </c>
      <c r="L7" s="9"/>
      <c r="M7" s="13"/>
      <c r="N7" s="9"/>
      <c r="O7" s="13"/>
    </row>
    <row r="8">
      <c r="A8" s="11">
        <f>500-(500*10%)</f>
        <v>450</v>
      </c>
      <c r="B8" s="9"/>
      <c r="C8" s="11">
        <v>161.13</v>
      </c>
      <c r="D8" s="9"/>
      <c r="E8" s="13">
        <v>161.12</v>
      </c>
      <c r="F8" s="9"/>
      <c r="G8" s="13">
        <v>294.44</v>
      </c>
      <c r="H8" s="9"/>
      <c r="I8" s="13">
        <v>170.11</v>
      </c>
      <c r="J8" s="9"/>
      <c r="K8" s="13">
        <f t="shared" ref="K8:K9" si="2">155.25-(155.25*16%)</f>
        <v>130.41</v>
      </c>
      <c r="L8" s="9"/>
      <c r="M8" s="13"/>
      <c r="N8" s="9"/>
      <c r="O8" s="13"/>
    </row>
    <row r="9">
      <c r="A9" s="11">
        <v>147.22</v>
      </c>
      <c r="B9" s="12"/>
      <c r="C9" s="11">
        <f>155.25-(155.25*16%)</f>
        <v>130.41</v>
      </c>
      <c r="D9" s="9"/>
      <c r="E9" s="13">
        <v>293.61</v>
      </c>
      <c r="F9" s="9"/>
      <c r="G9" s="13">
        <f> 677.18-( 677.18*16%)</f>
        <v>568.8312</v>
      </c>
      <c r="H9" s="9"/>
      <c r="I9" s="13">
        <v>156.3</v>
      </c>
      <c r="J9" s="9"/>
      <c r="K9" s="13">
        <f t="shared" si="2"/>
        <v>130.41</v>
      </c>
      <c r="L9" s="9"/>
      <c r="M9" s="13"/>
      <c r="N9" s="9"/>
      <c r="O9" s="13"/>
    </row>
    <row r="10">
      <c r="A10" s="11">
        <f>703.14-(703.14*16%)</f>
        <v>590.6376</v>
      </c>
      <c r="B10" s="12"/>
      <c r="C10" s="11">
        <v>170.11</v>
      </c>
      <c r="D10" s="9"/>
      <c r="E10" s="13">
        <v>312.42</v>
      </c>
      <c r="F10" s="9"/>
      <c r="G10" s="13">
        <f> 207
-( 207
*16%)</f>
        <v>173.88</v>
      </c>
      <c r="H10" s="9"/>
      <c r="I10" s="13">
        <f>140.55-(140.55*16%)</f>
        <v>118.062</v>
      </c>
      <c r="J10" s="9"/>
      <c r="K10" s="13">
        <v>142.31</v>
      </c>
      <c r="L10" s="9"/>
      <c r="M10" s="13"/>
      <c r="N10" s="9"/>
      <c r="O10" s="13"/>
    </row>
    <row r="11">
      <c r="A11" s="11">
        <f>991.54-(991.54*16%)</f>
        <v>832.8936</v>
      </c>
      <c r="B11" s="12"/>
      <c r="C11" s="11">
        <f>161.46-(161.46*16%)</f>
        <v>135.6264</v>
      </c>
      <c r="D11" s="9"/>
      <c r="E11" s="13">
        <v>613.41</v>
      </c>
      <c r="F11" s="9"/>
      <c r="G11" s="13">
        <v>493.18</v>
      </c>
      <c r="H11" s="9"/>
      <c r="I11" s="13">
        <v>152.32</v>
      </c>
      <c r="J11" s="9"/>
      <c r="K11" s="13">
        <f>374.42-(374.42*10%)</f>
        <v>336.978</v>
      </c>
      <c r="L11" s="9"/>
      <c r="M11" s="13"/>
      <c r="N11" s="9"/>
      <c r="O11" s="13"/>
    </row>
    <row r="12">
      <c r="A12" s="11">
        <v>142.31</v>
      </c>
      <c r="B12" s="12"/>
      <c r="C12" s="11">
        <f>880.88-(880.88*16%)</f>
        <v>739.9392</v>
      </c>
      <c r="D12" s="9"/>
      <c r="E12" s="13">
        <f> 150.59-( 150.59*16%)</f>
        <v>126.4956</v>
      </c>
      <c r="F12" s="9"/>
      <c r="G12" s="13">
        <f t="shared" ref="G12:G13" si="3">170.67-(170.67*16%)</f>
        <v>143.3628</v>
      </c>
      <c r="H12" s="9"/>
      <c r="I12" s="13">
        <f>144.9-(144.9*16%)</f>
        <v>121.716</v>
      </c>
      <c r="J12" s="9"/>
      <c r="K12" s="13">
        <v>556.16</v>
      </c>
      <c r="L12" s="9"/>
      <c r="M12" s="13"/>
      <c r="N12" s="9"/>
      <c r="O12" s="13"/>
    </row>
    <row r="13">
      <c r="A13" s="11">
        <v>156.3</v>
      </c>
      <c r="B13" s="10"/>
      <c r="C13" s="11">
        <v>318.16</v>
      </c>
      <c r="D13" s="9"/>
      <c r="E13" s="13">
        <v>161.12</v>
      </c>
      <c r="F13" s="9"/>
      <c r="G13" s="13">
        <f t="shared" si="3"/>
        <v>143.3628</v>
      </c>
      <c r="H13" s="9"/>
      <c r="I13" s="13">
        <f>172.5-(172.5*16%)</f>
        <v>144.9</v>
      </c>
      <c r="J13" s="9"/>
      <c r="K13" s="13">
        <f> 269.95-( 269.95*16%)</f>
        <v>226.758</v>
      </c>
      <c r="L13" s="9"/>
      <c r="M13" s="13"/>
      <c r="N13" s="9"/>
      <c r="O13" s="13"/>
    </row>
    <row r="14">
      <c r="A14" s="11">
        <f>217.35-(217.35*16%)</f>
        <v>182.574</v>
      </c>
      <c r="B14" s="12"/>
      <c r="C14" s="11">
        <f>155.25-(155.25*16%)</f>
        <v>130.41</v>
      </c>
      <c r="D14" s="9"/>
      <c r="E14" s="13">
        <v>161.12</v>
      </c>
      <c r="F14" s="9"/>
      <c r="G14" s="13">
        <v>138.04</v>
      </c>
      <c r="H14" s="9"/>
      <c r="I14" s="13">
        <f> 207
-( 207
*16%)</f>
        <v>173.88</v>
      </c>
      <c r="J14" s="9"/>
      <c r="K14" s="13">
        <v>189.74</v>
      </c>
      <c r="L14" s="9"/>
      <c r="M14" s="13"/>
      <c r="N14" s="9"/>
      <c r="O14" s="13"/>
    </row>
    <row r="15">
      <c r="A15" s="11">
        <f>350-(350*10%)</f>
        <v>315</v>
      </c>
      <c r="B15" s="12"/>
      <c r="C15" s="11">
        <v>538.15</v>
      </c>
      <c r="D15" s="9"/>
      <c r="E15" s="13">
        <v>142.31</v>
      </c>
      <c r="F15" s="9"/>
      <c r="G15" s="13">
        <f>186.3-(186.3*16%)</f>
        <v>156.492</v>
      </c>
      <c r="H15" s="9"/>
      <c r="I15" s="13">
        <f>607.68-(607.68*16%)</f>
        <v>510.4512</v>
      </c>
      <c r="J15" s="9"/>
      <c r="K15" s="13">
        <v>161.12</v>
      </c>
      <c r="L15" s="9"/>
      <c r="M15" s="13"/>
      <c r="N15" s="9"/>
      <c r="O15" s="13"/>
    </row>
    <row r="16">
      <c r="A16" s="11">
        <f>195.5-(195.5*16%)</f>
        <v>164.22</v>
      </c>
      <c r="B16" s="12"/>
      <c r="C16" s="11">
        <v>341.06</v>
      </c>
      <c r="D16" s="9"/>
      <c r="E16" s="13">
        <v>398.31</v>
      </c>
      <c r="F16" s="9"/>
      <c r="G16" s="13">
        <v>174.54</v>
      </c>
      <c r="H16" s="9"/>
      <c r="I16" s="13">
        <f>195.62-(195.62*16%)</f>
        <v>164.3208</v>
      </c>
      <c r="J16" s="9"/>
      <c r="K16" s="13">
        <v>142.31</v>
      </c>
      <c r="L16" s="9"/>
      <c r="M16" s="13"/>
      <c r="N16" s="9"/>
      <c r="O16" s="13"/>
    </row>
    <row r="17">
      <c r="A17" s="11">
        <v>179.93</v>
      </c>
      <c r="B17" s="12"/>
      <c r="C17" s="11">
        <v>208.55</v>
      </c>
      <c r="D17" s="9"/>
      <c r="E17" s="13">
        <f>217.35-(217.35*16%)</f>
        <v>182.574</v>
      </c>
      <c r="F17" s="9"/>
      <c r="G17" s="13">
        <f> 207
-( 207
*16%)</f>
        <v>173.88</v>
      </c>
      <c r="H17" s="9"/>
      <c r="I17" s="13">
        <f>165.6-(165.6*16%)</f>
        <v>139.104</v>
      </c>
      <c r="J17" s="9"/>
      <c r="K17" s="13">
        <v>398.31</v>
      </c>
      <c r="L17" s="9"/>
      <c r="M17" s="13"/>
      <c r="N17" s="9"/>
      <c r="O17" s="13"/>
    </row>
    <row r="18">
      <c r="A18" s="11">
        <f>379.5-(379.5*16%)</f>
        <v>318.78</v>
      </c>
      <c r="B18" s="9"/>
      <c r="C18" s="11">
        <f>240.35-(240.35*16%)</f>
        <v>201.894</v>
      </c>
      <c r="D18" s="9"/>
      <c r="E18" s="13">
        <v>735.27</v>
      </c>
      <c r="F18" s="9"/>
      <c r="G18" s="13">
        <f>411.62-(411.62*16%)</f>
        <v>345.7608</v>
      </c>
      <c r="H18" s="9"/>
      <c r="I18" s="13">
        <v>138.04</v>
      </c>
      <c r="J18" s="9"/>
      <c r="K18" s="13">
        <f>480.7-(480.7*16%)</f>
        <v>403.788</v>
      </c>
      <c r="L18" s="9"/>
      <c r="M18" s="13"/>
      <c r="N18" s="9"/>
      <c r="O18" s="13"/>
    </row>
    <row r="19">
      <c r="A19" s="11">
        <v>0.0</v>
      </c>
      <c r="B19" s="11"/>
      <c r="C19" s="11">
        <f>371.46-(371.46*16%)</f>
        <v>312.0264</v>
      </c>
      <c r="D19" s="9"/>
      <c r="E19" s="13">
        <f>(587.23)/2*1</f>
        <v>293.615</v>
      </c>
      <c r="F19" s="9"/>
      <c r="G19" s="13">
        <f>(565.11)/2*1</f>
        <v>282.555</v>
      </c>
      <c r="H19" s="9"/>
      <c r="I19" s="13">
        <f> 184.75-( 184.75*16%)</f>
        <v>155.19</v>
      </c>
      <c r="J19" s="9"/>
      <c r="K19" s="13">
        <v>170.11</v>
      </c>
      <c r="L19" s="9"/>
      <c r="M19" s="13"/>
      <c r="N19" s="9"/>
      <c r="O19" s="13"/>
    </row>
    <row r="20">
      <c r="A20" s="11">
        <v>0.0</v>
      </c>
      <c r="B20" s="12"/>
      <c r="C20" s="11">
        <v>227.36</v>
      </c>
      <c r="D20" s="10"/>
      <c r="E20" s="13">
        <v>0.0</v>
      </c>
      <c r="F20" s="9"/>
      <c r="G20" s="13">
        <v>0.0</v>
      </c>
      <c r="H20" s="9"/>
      <c r="I20" s="13">
        <v>165.01</v>
      </c>
      <c r="J20" s="9"/>
      <c r="K20" s="13">
        <f>218.5-(218.5*16%)</f>
        <v>183.54</v>
      </c>
      <c r="L20" s="9"/>
      <c r="M20" s="13"/>
      <c r="N20" s="9"/>
      <c r="O20" s="13"/>
    </row>
    <row r="21">
      <c r="A21" s="11">
        <v>0.0</v>
      </c>
      <c r="B21" s="12"/>
      <c r="C21" s="11">
        <f>(613.41)/2*1</f>
        <v>306.705</v>
      </c>
      <c r="D21" s="9"/>
      <c r="E21" s="13">
        <v>0.0</v>
      </c>
      <c r="F21" s="9"/>
      <c r="G21" s="13">
        <v>0.0</v>
      </c>
      <c r="H21" s="9"/>
      <c r="I21" s="13">
        <v>350.05</v>
      </c>
      <c r="J21" s="9"/>
      <c r="K21" s="13">
        <f>471.85-(471.85*16%)</f>
        <v>396.354</v>
      </c>
      <c r="L21" s="9"/>
      <c r="M21" s="13"/>
      <c r="N21" s="9"/>
      <c r="O21" s="13"/>
    </row>
    <row r="22">
      <c r="A22" s="11">
        <v>0.0</v>
      </c>
      <c r="B22" s="9"/>
      <c r="C22" s="11">
        <v>0.0</v>
      </c>
      <c r="D22" s="9"/>
      <c r="E22" s="13">
        <v>0.0</v>
      </c>
      <c r="F22" s="9"/>
      <c r="G22" s="13">
        <v>0.0</v>
      </c>
      <c r="H22" s="9"/>
      <c r="I22" s="13">
        <v>174.54</v>
      </c>
      <c r="J22" s="9"/>
      <c r="K22" s="13">
        <v>0.0</v>
      </c>
      <c r="L22" s="9"/>
      <c r="M22" s="13"/>
      <c r="N22" s="9"/>
      <c r="O22" s="13"/>
    </row>
    <row r="23">
      <c r="A23" s="11">
        <v>0.0</v>
      </c>
      <c r="B23" s="9"/>
      <c r="C23" s="11">
        <v>0.0</v>
      </c>
      <c r="D23" s="9"/>
      <c r="E23" s="13">
        <v>0.0</v>
      </c>
      <c r="F23" s="9"/>
      <c r="G23" s="13">
        <v>0.0</v>
      </c>
      <c r="H23" s="9"/>
      <c r="I23" s="13">
        <f>381.45-(381.45*16%)</f>
        <v>320.418</v>
      </c>
      <c r="J23" s="9"/>
      <c r="K23" s="13">
        <v>0.0</v>
      </c>
      <c r="L23" s="9"/>
      <c r="M23" s="13"/>
      <c r="N23" s="9"/>
      <c r="O23" s="13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>
        <v>0.0</v>
      </c>
      <c r="H24" s="9"/>
      <c r="I24" s="13">
        <v>0.0</v>
      </c>
      <c r="J24" s="9"/>
      <c r="K24" s="13">
        <v>0.0</v>
      </c>
      <c r="L24" s="9"/>
      <c r="M24" s="13"/>
      <c r="N24" s="9"/>
      <c r="O24" s="13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L25" s="9"/>
      <c r="M25" s="13"/>
      <c r="N25" s="9"/>
      <c r="O25" s="13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L26" s="9"/>
      <c r="M26" s="13"/>
      <c r="N26" s="9"/>
      <c r="O26" s="13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L27" s="9"/>
      <c r="M27" s="13"/>
      <c r="N27" s="9"/>
      <c r="O27" s="13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L28" s="9"/>
      <c r="M28" s="13"/>
      <c r="N28" s="9"/>
      <c r="O28" s="13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L29" s="9"/>
      <c r="M29" s="13"/>
      <c r="N29" s="9"/>
      <c r="O29" s="13"/>
    </row>
    <row r="30">
      <c r="A30" s="14">
        <f>SUM(A3:A29)</f>
        <v>4808.1316</v>
      </c>
      <c r="B30" s="9"/>
      <c r="C30" s="14">
        <f>SUM(C3:C29)</f>
        <v>5111.3836</v>
      </c>
      <c r="D30" s="15"/>
      <c r="E30" s="14">
        <f>SUM(E3:E29)</f>
        <v>4445.3606</v>
      </c>
      <c r="F30" s="14"/>
      <c r="G30" s="14">
        <f>SUM(G3:G29)</f>
        <v>3981.6982</v>
      </c>
      <c r="H30" s="9"/>
      <c r="I30" s="14">
        <f>SUM(I3:I29)</f>
        <v>4076.7672</v>
      </c>
      <c r="J30" s="9"/>
      <c r="K30" s="14">
        <f>SUM(K3:K29)</f>
        <v>4938.138</v>
      </c>
      <c r="L30" s="9"/>
      <c r="M30" s="14"/>
      <c r="N30" s="9"/>
      <c r="O30" s="14"/>
    </row>
    <row r="31">
      <c r="A31" s="38" t="s">
        <v>5</v>
      </c>
      <c r="B31" s="39">
        <f>A30+C30+E30+G30+I30+K30</f>
        <v>27361.4792</v>
      </c>
      <c r="C31" s="2"/>
      <c r="D31" s="2"/>
      <c r="E31" s="2"/>
      <c r="F31" s="2"/>
      <c r="G31" s="2"/>
      <c r="H31" s="2"/>
      <c r="I31" s="2"/>
      <c r="J31" s="2"/>
      <c r="K31" s="3"/>
      <c r="L31" s="7"/>
      <c r="M31" s="7"/>
      <c r="N31" s="7"/>
      <c r="O31" s="7"/>
    </row>
    <row r="32">
      <c r="A32" s="25">
        <f>(A30-4713.88)</f>
        <v>94.2516</v>
      </c>
      <c r="B32" s="24"/>
      <c r="C32" s="25">
        <f>(C30-5174.6)</f>
        <v>-63.2164</v>
      </c>
      <c r="D32" s="24"/>
      <c r="E32" s="25">
        <f>(E30-4886.43)</f>
        <v>-441.0694</v>
      </c>
      <c r="F32" s="24"/>
      <c r="G32" s="25">
        <f>(G30-4995.6)</f>
        <v>-1013.9018</v>
      </c>
      <c r="H32" s="24"/>
      <c r="I32" s="25">
        <f>(I30-5152.82)</f>
        <v>-1076.0528</v>
      </c>
      <c r="J32" s="24"/>
      <c r="K32" s="25">
        <f>(K30-5051.68)</f>
        <v>-113.542</v>
      </c>
    </row>
    <row r="35">
      <c r="D35" s="28" t="s">
        <v>3</v>
      </c>
      <c r="E35" s="29">
        <f>B31</f>
        <v>27361.4792</v>
      </c>
      <c r="F35" s="20"/>
    </row>
    <row r="36">
      <c r="D36" s="28" t="s">
        <v>4</v>
      </c>
      <c r="E36" s="29">
        <f>A32+C32+E32+G32+I32+K32</f>
        <v>-2613.5308</v>
      </c>
      <c r="F36" s="20"/>
    </row>
  </sheetData>
  <mergeCells count="2">
    <mergeCell ref="A1:K1"/>
    <mergeCell ref="B31:K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7</v>
      </c>
      <c r="B2" s="5"/>
      <c r="C2" s="6" t="s">
        <v>8</v>
      </c>
      <c r="D2" s="7"/>
      <c r="E2" s="40" t="s">
        <v>9</v>
      </c>
      <c r="F2" s="7"/>
      <c r="G2" s="6" t="s">
        <v>10</v>
      </c>
      <c r="H2" s="15"/>
      <c r="I2" s="21" t="s">
        <v>1</v>
      </c>
      <c r="J2" s="15"/>
      <c r="K2" s="21" t="s">
        <v>1</v>
      </c>
      <c r="M2" s="10"/>
      <c r="O2" s="10"/>
    </row>
    <row r="3">
      <c r="A3" s="11">
        <f>(2021.86)/4*3</f>
        <v>1516.395</v>
      </c>
      <c r="B3" s="23"/>
      <c r="C3" s="11">
        <f>1248.72-(1248.72*16%)</f>
        <v>1048.9248</v>
      </c>
      <c r="D3" s="30"/>
      <c r="E3" s="25">
        <f>(6075)/31*16</f>
        <v>3135.483871</v>
      </c>
      <c r="F3" s="25"/>
      <c r="G3" s="13">
        <f>(6750)/31*28</f>
        <v>6096.774194</v>
      </c>
      <c r="H3" s="9"/>
      <c r="I3" s="13">
        <v>0.0</v>
      </c>
      <c r="J3" s="9"/>
      <c r="K3" s="13">
        <v>0.0</v>
      </c>
      <c r="M3" s="20"/>
      <c r="O3" s="20"/>
    </row>
    <row r="4">
      <c r="A4" s="11">
        <f>155.25-(155.25*16%)</f>
        <v>130.41</v>
      </c>
      <c r="B4" s="12"/>
      <c r="C4" s="11">
        <f t="shared" ref="C4:C5" si="1"> 172.5-( 172.5*16%)</f>
        <v>144.9</v>
      </c>
      <c r="D4" s="9"/>
      <c r="E4" s="25">
        <f>(6075)/30*14</f>
        <v>2835</v>
      </c>
      <c r="F4" s="25"/>
      <c r="G4" s="13">
        <f>(1305)/8*3</f>
        <v>489.375</v>
      </c>
      <c r="H4" s="9"/>
      <c r="I4" s="13">
        <v>0.0</v>
      </c>
      <c r="J4" s="9"/>
      <c r="K4" s="13">
        <v>0.0</v>
      </c>
      <c r="M4" s="20"/>
      <c r="O4" s="20"/>
    </row>
    <row r="5">
      <c r="A5" s="11">
        <f>150.59-(150.59*16%)</f>
        <v>126.4956</v>
      </c>
      <c r="B5" s="12"/>
      <c r="C5" s="11">
        <f t="shared" si="1"/>
        <v>144.9</v>
      </c>
      <c r="D5" s="9"/>
      <c r="E5" s="25">
        <v>0.0</v>
      </c>
      <c r="F5" s="9"/>
      <c r="G5" s="13">
        <f>508.3-(508.3*16%)</f>
        <v>426.972</v>
      </c>
      <c r="H5" s="9"/>
      <c r="I5" s="13">
        <v>0.0</v>
      </c>
      <c r="J5" s="9"/>
      <c r="K5" s="13">
        <v>0.0</v>
      </c>
      <c r="M5" s="20"/>
      <c r="O5" s="20"/>
    </row>
    <row r="6">
      <c r="A6" s="11">
        <f>155.25-(155.25*16%)</f>
        <v>130.41</v>
      </c>
      <c r="B6" s="11"/>
      <c r="C6" s="11">
        <f t="shared" ref="C6:C7" si="2"> 161-( 161*16%)</f>
        <v>135.24</v>
      </c>
      <c r="D6" s="9"/>
      <c r="E6" s="25">
        <v>0.0</v>
      </c>
      <c r="F6" s="9"/>
      <c r="G6" s="13">
        <v>0.0</v>
      </c>
      <c r="H6" s="9"/>
      <c r="I6" s="13">
        <v>0.0</v>
      </c>
      <c r="J6" s="9"/>
      <c r="K6" s="13">
        <v>0.0</v>
      </c>
      <c r="M6" s="20"/>
      <c r="O6" s="20"/>
    </row>
    <row r="7">
      <c r="A7" s="11">
        <f>444.02-(444.02*16%)</f>
        <v>372.9768</v>
      </c>
      <c r="B7" s="11"/>
      <c r="C7" s="11">
        <f t="shared" si="2"/>
        <v>135.24</v>
      </c>
      <c r="D7" s="9"/>
      <c r="E7" s="25">
        <v>0.0</v>
      </c>
      <c r="F7" s="9"/>
      <c r="G7" s="13">
        <v>0.0</v>
      </c>
      <c r="H7" s="9"/>
      <c r="I7" s="13">
        <v>0.0</v>
      </c>
      <c r="J7" s="9"/>
      <c r="K7" s="13">
        <v>0.0</v>
      </c>
      <c r="M7" s="20"/>
      <c r="O7" s="20"/>
    </row>
    <row r="8">
      <c r="A8" s="11">
        <f>200.79-(200.79*16%)</f>
        <v>168.6636</v>
      </c>
      <c r="B8" s="9"/>
      <c r="C8" s="11">
        <f> 882.74-( 882.74*16%)</f>
        <v>741.5016</v>
      </c>
      <c r="D8" s="9"/>
      <c r="E8" s="25">
        <v>0.0</v>
      </c>
      <c r="F8" s="9"/>
      <c r="G8" s="13">
        <v>0.0</v>
      </c>
      <c r="H8" s="10"/>
      <c r="I8" s="13">
        <v>0.0</v>
      </c>
      <c r="J8" s="9"/>
      <c r="K8" s="13">
        <v>0.0</v>
      </c>
      <c r="M8" s="20"/>
      <c r="O8" s="20"/>
    </row>
    <row r="9">
      <c r="A9" s="11">
        <f> 175.29-( 175.29*16%)</f>
        <v>147.2436</v>
      </c>
      <c r="B9" s="12"/>
      <c r="C9" s="11">
        <f> 604.04-( 604.04*16%)</f>
        <v>507.3936</v>
      </c>
      <c r="D9" s="9"/>
      <c r="E9" s="13">
        <v>0.0</v>
      </c>
      <c r="F9" s="9"/>
      <c r="G9" s="13">
        <v>0.0</v>
      </c>
      <c r="H9" s="37"/>
      <c r="I9" s="13">
        <v>0.0</v>
      </c>
      <c r="J9" s="9"/>
      <c r="K9" s="13">
        <v>0.0</v>
      </c>
      <c r="M9" s="20"/>
      <c r="O9" s="20"/>
    </row>
    <row r="10">
      <c r="A10" s="11">
        <f> 220.46-( 220.46*16%)</f>
        <v>185.1864</v>
      </c>
      <c r="B10" s="12"/>
      <c r="C10" s="11">
        <f> 276-( 276*16%)</f>
        <v>231.84</v>
      </c>
      <c r="D10" s="9"/>
      <c r="E10" s="13">
        <v>0.0</v>
      </c>
      <c r="F10" s="9"/>
      <c r="G10" s="13">
        <v>0.0</v>
      </c>
      <c r="H10" s="9"/>
      <c r="I10" s="13">
        <v>0.0</v>
      </c>
      <c r="J10" s="9"/>
      <c r="K10" s="13">
        <v>0.0</v>
      </c>
      <c r="M10" s="20"/>
      <c r="O10" s="20"/>
    </row>
    <row r="11">
      <c r="A11" s="11">
        <f>  170.68-(  170.68*16%)</f>
        <v>143.3712</v>
      </c>
      <c r="B11" s="12"/>
      <c r="C11" s="11">
        <f> 312.34-( 312.34*16%)</f>
        <v>262.3656</v>
      </c>
      <c r="D11" s="9"/>
      <c r="E11" s="13">
        <v>0.0</v>
      </c>
      <c r="F11" s="9"/>
      <c r="G11" s="13">
        <v>0.0</v>
      </c>
      <c r="H11" s="9"/>
      <c r="I11" s="13">
        <v>0.0</v>
      </c>
      <c r="J11" s="9"/>
      <c r="K11" s="13">
        <v>0.0</v>
      </c>
      <c r="M11" s="20"/>
      <c r="O11" s="20"/>
    </row>
    <row r="12">
      <c r="A12" s="11">
        <f>  180.71-(  180.71*16%)</f>
        <v>151.7964</v>
      </c>
      <c r="B12" s="12"/>
      <c r="C12" s="11">
        <f> 322-( 322*16%)</f>
        <v>270.48</v>
      </c>
      <c r="D12" s="9"/>
      <c r="E12" s="13">
        <v>0.0</v>
      </c>
      <c r="F12" s="9"/>
      <c r="G12" s="13">
        <v>0.0</v>
      </c>
      <c r="H12" s="10"/>
      <c r="I12" s="13">
        <v>0.0</v>
      </c>
      <c r="J12" s="9"/>
      <c r="K12" s="13">
        <v>0.0</v>
      </c>
      <c r="M12" s="20"/>
      <c r="O12" s="20"/>
    </row>
    <row r="13">
      <c r="A13" s="11">
        <f>   797.14-(   797.14*16%)</f>
        <v>669.5976</v>
      </c>
      <c r="B13" s="9"/>
      <c r="C13" s="11">
        <f> 230-( 230*16%)</f>
        <v>193.2</v>
      </c>
      <c r="D13" s="9"/>
      <c r="E13" s="13">
        <v>0.0</v>
      </c>
      <c r="F13" s="9"/>
      <c r="G13" s="13">
        <v>0.0</v>
      </c>
      <c r="H13" s="9"/>
      <c r="I13" s="13">
        <v>0.0</v>
      </c>
      <c r="J13" s="9"/>
      <c r="K13" s="13">
        <v>0.0</v>
      </c>
      <c r="M13" s="20"/>
      <c r="O13" s="20"/>
    </row>
    <row r="14">
      <c r="A14" s="11">
        <f>   517.5-(   517.5*16%)</f>
        <v>434.7</v>
      </c>
      <c r="B14" s="12"/>
      <c r="C14" s="11">
        <f> 368-( 368*16%)</f>
        <v>309.12</v>
      </c>
      <c r="D14" s="9"/>
      <c r="E14" s="13">
        <v>0.0</v>
      </c>
      <c r="F14" s="9"/>
      <c r="G14" s="13">
        <v>0.0</v>
      </c>
      <c r="H14" s="9"/>
      <c r="I14" s="13">
        <v>0.0</v>
      </c>
      <c r="J14" s="9"/>
      <c r="K14" s="13">
        <v>0.0</v>
      </c>
      <c r="M14" s="20"/>
      <c r="O14" s="20"/>
    </row>
    <row r="15">
      <c r="A15" s="11">
        <f>  753.83-( 753.83*16%)</f>
        <v>633.2172</v>
      </c>
      <c r="B15" s="12"/>
      <c r="C15" s="11">
        <f> 241.5-( 241.5*16%)</f>
        <v>202.86</v>
      </c>
      <c r="D15" s="9"/>
      <c r="E15" s="13">
        <v>0.0</v>
      </c>
      <c r="F15" s="9"/>
      <c r="G15" s="13">
        <v>0.0</v>
      </c>
      <c r="H15" s="9"/>
      <c r="I15" s="13">
        <v>0.0</v>
      </c>
      <c r="J15" s="9"/>
      <c r="K15" s="13">
        <v>0.0</v>
      </c>
      <c r="M15" s="20"/>
      <c r="O15" s="20"/>
    </row>
    <row r="16">
      <c r="A16" s="11">
        <f>  217.35-(217.35*16%)</f>
        <v>182.574</v>
      </c>
      <c r="B16" s="12"/>
      <c r="C16" s="11">
        <f> 540.5-( 540.5*16%)</f>
        <v>454.02</v>
      </c>
      <c r="D16" s="9"/>
      <c r="E16" s="13">
        <v>0.0</v>
      </c>
      <c r="F16" s="9"/>
      <c r="G16" s="13">
        <v>0.0</v>
      </c>
      <c r="H16" s="9"/>
      <c r="I16" s="13">
        <v>0.0</v>
      </c>
      <c r="J16" s="9"/>
      <c r="K16" s="13">
        <v>0.0</v>
      </c>
      <c r="M16" s="20"/>
      <c r="O16" s="20"/>
    </row>
    <row r="17">
      <c r="A17" s="11">
        <f>   398.57-( 398.57*16%)</f>
        <v>334.7988</v>
      </c>
      <c r="B17" s="12"/>
      <c r="C17" s="11">
        <f> 241.5-( 241.5*16%)</f>
        <v>202.86</v>
      </c>
      <c r="D17" s="9"/>
      <c r="E17" s="13">
        <v>0.0</v>
      </c>
      <c r="F17" s="9"/>
      <c r="G17" s="13">
        <v>0.0</v>
      </c>
      <c r="H17" s="9"/>
      <c r="I17" s="13">
        <v>0.0</v>
      </c>
      <c r="J17" s="9"/>
      <c r="K17" s="13">
        <v>0.0</v>
      </c>
      <c r="M17" s="20"/>
      <c r="O17" s="20"/>
    </row>
    <row r="18">
      <c r="A18" s="11">
        <f>   196.65-( 196.65*16%)</f>
        <v>165.186</v>
      </c>
      <c r="B18" s="9"/>
      <c r="C18" s="11">
        <f> 230-( 230*16%)</f>
        <v>193.2</v>
      </c>
      <c r="D18" s="9"/>
      <c r="E18" s="13">
        <v>0.0</v>
      </c>
      <c r="F18" s="9"/>
      <c r="G18" s="13">
        <v>0.0</v>
      </c>
      <c r="H18" s="9"/>
      <c r="I18" s="13">
        <v>0.0</v>
      </c>
      <c r="J18" s="9"/>
      <c r="K18" s="13">
        <v>0.0</v>
      </c>
      <c r="M18" s="20"/>
      <c r="O18" s="20"/>
    </row>
    <row r="19">
      <c r="A19" s="11">
        <f>   1742.55-( 1742.55*16%)</f>
        <v>1463.742</v>
      </c>
      <c r="B19" s="12"/>
      <c r="C19" s="11">
        <f> 245.41-( 245.41*16%)</f>
        <v>206.1444</v>
      </c>
      <c r="D19" s="9"/>
      <c r="E19" s="13">
        <v>0.0</v>
      </c>
      <c r="F19" s="9"/>
      <c r="G19" s="13">
        <v>0.0</v>
      </c>
      <c r="H19" s="9"/>
      <c r="I19" s="13">
        <v>0.0</v>
      </c>
      <c r="J19" s="9"/>
      <c r="K19" s="13">
        <v>0.0</v>
      </c>
      <c r="M19" s="20"/>
      <c r="O19" s="20"/>
    </row>
    <row r="20">
      <c r="A20" s="11">
        <v>0.0</v>
      </c>
      <c r="B20" s="12"/>
      <c r="C20" s="11">
        <f> 207-( 207*16%)</f>
        <v>173.88</v>
      </c>
      <c r="D20" s="9"/>
      <c r="E20" s="13">
        <v>0.0</v>
      </c>
      <c r="F20" s="9"/>
      <c r="G20" s="13">
        <v>0.0</v>
      </c>
      <c r="H20" s="9"/>
      <c r="I20" s="13">
        <v>0.0</v>
      </c>
      <c r="J20" s="9"/>
      <c r="K20" s="13">
        <v>0.0</v>
      </c>
      <c r="M20" s="20"/>
      <c r="O20" s="20"/>
    </row>
    <row r="21">
      <c r="A21" s="11">
        <v>0.0</v>
      </c>
      <c r="B21" s="12"/>
      <c r="C21" s="11">
        <f> 253-( 253*16%)</f>
        <v>212.52</v>
      </c>
      <c r="D21" s="9"/>
      <c r="E21" s="13">
        <v>0.0</v>
      </c>
      <c r="F21" s="9"/>
      <c r="G21" s="13">
        <v>0.0</v>
      </c>
      <c r="H21" s="9"/>
      <c r="I21" s="13">
        <v>0.0</v>
      </c>
      <c r="J21" s="9"/>
      <c r="K21" s="13">
        <v>0.0</v>
      </c>
      <c r="M21" s="20"/>
      <c r="O21" s="20"/>
    </row>
    <row r="22">
      <c r="A22" s="11">
        <v>0.0</v>
      </c>
      <c r="B22" s="9"/>
      <c r="C22" s="11">
        <f> 433.71-( 433.71*16%)</f>
        <v>364.3164</v>
      </c>
      <c r="D22" s="9"/>
      <c r="E22" s="13">
        <v>0.0</v>
      </c>
      <c r="F22" s="9"/>
      <c r="G22" s="13">
        <v>0.0</v>
      </c>
      <c r="H22" s="9"/>
      <c r="I22" s="13">
        <v>0.0</v>
      </c>
      <c r="J22" s="9"/>
      <c r="K22" s="13">
        <v>0.0</v>
      </c>
      <c r="M22" s="20"/>
      <c r="O22" s="20"/>
    </row>
    <row r="23">
      <c r="A23" s="11">
        <v>0.0</v>
      </c>
      <c r="B23" s="9"/>
      <c r="C23" s="11">
        <v>0.0</v>
      </c>
      <c r="D23" s="9"/>
      <c r="E23" s="13">
        <v>0.0</v>
      </c>
      <c r="F23" s="9"/>
      <c r="G23" s="13">
        <v>0.0</v>
      </c>
      <c r="H23" s="9"/>
      <c r="I23" s="13">
        <v>0.0</v>
      </c>
      <c r="J23" s="9"/>
      <c r="K23" s="13">
        <v>0.0</v>
      </c>
      <c r="M23" s="20"/>
      <c r="O23" s="20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>
        <v>0.0</v>
      </c>
      <c r="H24" s="9"/>
      <c r="I24" s="13">
        <v>0.0</v>
      </c>
      <c r="J24" s="9"/>
      <c r="K24" s="13">
        <v>0.0</v>
      </c>
      <c r="M24" s="20"/>
      <c r="O24" s="20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M25" s="20"/>
      <c r="O25" s="20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M26" s="20"/>
      <c r="O26" s="20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M27" s="20"/>
      <c r="O27" s="20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M28" s="20"/>
      <c r="O28" s="20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M29" s="20"/>
      <c r="O29" s="20"/>
    </row>
    <row r="30">
      <c r="A30" s="14">
        <f>SUM(A3:A29)</f>
        <v>6956.7642</v>
      </c>
      <c r="B30" s="9"/>
      <c r="C30" s="14">
        <f>SUM(C3:C29)</f>
        <v>6134.9064</v>
      </c>
      <c r="D30" s="15"/>
      <c r="E30" s="14">
        <f>SUM(E3:E29)</f>
        <v>5970.483871</v>
      </c>
      <c r="F30" s="14"/>
      <c r="G30" s="14">
        <f>SUM(G3:G29)</f>
        <v>7013.121194</v>
      </c>
      <c r="H30" s="9"/>
      <c r="I30" s="14">
        <f>SUM(I3:I29)</f>
        <v>0</v>
      </c>
      <c r="J30" s="9"/>
      <c r="K30" s="14">
        <f>SUM(K3:K29)</f>
        <v>0</v>
      </c>
      <c r="M30" s="19"/>
      <c r="O30" s="19"/>
    </row>
    <row r="31">
      <c r="A31" s="8" t="s">
        <v>5</v>
      </c>
      <c r="B31" s="16">
        <f>A30+C30+E30+G30+I30+K30</f>
        <v>26075.27566</v>
      </c>
    </row>
    <row r="32">
      <c r="A32" s="26">
        <f>(A30-4216.44)</f>
        <v>2740.3242</v>
      </c>
      <c r="B32" s="26"/>
      <c r="C32" s="26">
        <f>(C30-4351.03)</f>
        <v>1783.8764</v>
      </c>
      <c r="D32" s="26"/>
      <c r="E32" s="26">
        <f>(E30-8187.99)</f>
        <v>-2217.506129</v>
      </c>
      <c r="F32" s="26"/>
      <c r="G32" s="26">
        <f>(G30-5289.33)</f>
        <v>1723.791194</v>
      </c>
      <c r="H32" s="26"/>
      <c r="I32" s="26">
        <f>(I30-0)</f>
        <v>0</v>
      </c>
      <c r="J32" s="26"/>
      <c r="K32" s="26">
        <f>(K30-0)</f>
        <v>0</v>
      </c>
    </row>
    <row r="36">
      <c r="D36" s="28" t="s">
        <v>3</v>
      </c>
      <c r="E36" s="29">
        <f>B31</f>
        <v>26075.27566</v>
      </c>
      <c r="F36" s="20"/>
    </row>
    <row r="37">
      <c r="D37" s="28" t="s">
        <v>4</v>
      </c>
      <c r="E37" s="29">
        <f>A32+C32+E32+G32+I32+K32</f>
        <v>4030.485665</v>
      </c>
      <c r="F37" s="20"/>
    </row>
  </sheetData>
  <mergeCells count="2">
    <mergeCell ref="A1:K1"/>
    <mergeCell ref="B31:K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11" max="11" width="1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5" t="s">
        <v>11</v>
      </c>
      <c r="B2" s="5"/>
      <c r="C2" s="8" t="s">
        <v>12</v>
      </c>
      <c r="D2" s="7"/>
      <c r="E2" s="8" t="s">
        <v>13</v>
      </c>
      <c r="F2" s="7"/>
      <c r="G2" s="8" t="s">
        <v>14</v>
      </c>
      <c r="H2" s="7"/>
      <c r="I2" s="8" t="s">
        <v>15</v>
      </c>
      <c r="J2" s="7"/>
      <c r="K2" s="8" t="s">
        <v>16</v>
      </c>
      <c r="L2" s="7"/>
      <c r="M2" s="8" t="s">
        <v>17</v>
      </c>
      <c r="N2" s="7"/>
      <c r="O2" s="8" t="s">
        <v>18</v>
      </c>
      <c r="P2" s="41"/>
    </row>
    <row r="3">
      <c r="A3" s="13">
        <v>11145.01</v>
      </c>
      <c r="B3" s="12" t="s">
        <v>3</v>
      </c>
      <c r="C3" s="42">
        <v>27627.92913333333</v>
      </c>
      <c r="D3" s="10" t="s">
        <v>3</v>
      </c>
      <c r="E3" s="37">
        <v>22296.864566666667</v>
      </c>
      <c r="F3" s="10" t="s">
        <v>3</v>
      </c>
      <c r="G3" s="37">
        <v>4645.1612903225805</v>
      </c>
      <c r="H3" s="10" t="s">
        <v>3</v>
      </c>
      <c r="I3" s="37">
        <v>2901.4602999999997</v>
      </c>
      <c r="J3" s="10" t="s">
        <v>3</v>
      </c>
      <c r="K3" s="37">
        <v>7836.718</v>
      </c>
      <c r="L3" s="10" t="s">
        <v>3</v>
      </c>
      <c r="M3" s="37">
        <v>26075.275664516128</v>
      </c>
      <c r="N3" s="10" t="s">
        <v>3</v>
      </c>
      <c r="O3" s="37">
        <v>27361.4792</v>
      </c>
      <c r="P3" s="10" t="s">
        <v>3</v>
      </c>
    </row>
    <row r="4">
      <c r="A4" s="13">
        <v>-2828.65</v>
      </c>
      <c r="B4" s="12" t="s">
        <v>4</v>
      </c>
      <c r="C4" s="42">
        <v>-7995.730866666667</v>
      </c>
      <c r="D4" s="10" t="s">
        <v>4</v>
      </c>
      <c r="E4" s="37">
        <v>-6647.785433333332</v>
      </c>
      <c r="F4" s="10" t="s">
        <v>4</v>
      </c>
      <c r="G4" s="37">
        <v>-34531.118709677416</v>
      </c>
      <c r="H4" s="10" t="s">
        <v>4</v>
      </c>
      <c r="I4" s="37">
        <v>-4410.6197</v>
      </c>
      <c r="J4" s="10" t="s">
        <v>4</v>
      </c>
      <c r="K4" s="37">
        <v>3838.408</v>
      </c>
      <c r="L4" s="10" t="s">
        <v>4</v>
      </c>
      <c r="M4" s="37">
        <v>4030.48566451613</v>
      </c>
      <c r="N4" s="10" t="s">
        <v>4</v>
      </c>
      <c r="O4" s="37">
        <v>-2613.5308</v>
      </c>
      <c r="P4" s="10" t="s">
        <v>4</v>
      </c>
    </row>
    <row r="5">
      <c r="A5" s="11">
        <v>0.0</v>
      </c>
      <c r="B5" s="12"/>
      <c r="C5" s="11">
        <v>0.0</v>
      </c>
      <c r="D5" s="9"/>
      <c r="E5" s="13">
        <v>0.0</v>
      </c>
      <c r="F5" s="9"/>
      <c r="G5" s="13">
        <v>0.0</v>
      </c>
      <c r="H5" s="9"/>
      <c r="I5" s="13">
        <v>0.0</v>
      </c>
      <c r="J5" s="9"/>
      <c r="K5" s="13">
        <v>0.0</v>
      </c>
      <c r="L5" s="9"/>
      <c r="M5" s="13">
        <v>0.0</v>
      </c>
      <c r="N5" s="9"/>
      <c r="O5" s="13">
        <v>0.0</v>
      </c>
    </row>
    <row r="6">
      <c r="A6" s="43">
        <v>0.0</v>
      </c>
      <c r="B6" s="9"/>
      <c r="C6" s="43">
        <v>0.0</v>
      </c>
      <c r="D6" s="15"/>
      <c r="E6" s="43">
        <v>0.0</v>
      </c>
      <c r="F6" s="14"/>
      <c r="G6" s="43">
        <v>0.0</v>
      </c>
      <c r="H6" s="9"/>
      <c r="I6" s="43">
        <v>0.0</v>
      </c>
      <c r="J6" s="9"/>
      <c r="K6" s="43">
        <v>0.0</v>
      </c>
      <c r="L6" s="9"/>
      <c r="M6" s="13">
        <v>0.0</v>
      </c>
      <c r="N6" s="9"/>
      <c r="O6" s="13">
        <v>0.0</v>
      </c>
    </row>
    <row r="7">
      <c r="A7" s="38" t="s">
        <v>19</v>
      </c>
      <c r="B7" s="39">
        <f t="shared" ref="B7:B8" si="1">A3+C3+E3+G3+I3+K3+M3+O3</f>
        <v>129889.8982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</row>
    <row r="8">
      <c r="A8" s="38" t="s">
        <v>19</v>
      </c>
      <c r="B8" s="39">
        <f t="shared" si="1"/>
        <v>-51158.54185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</row>
  </sheetData>
  <mergeCells count="3">
    <mergeCell ref="A1:P1"/>
    <mergeCell ref="B7:P7"/>
    <mergeCell ref="B8:P8"/>
  </mergeCells>
  <drawing r:id="rId1"/>
</worksheet>
</file>